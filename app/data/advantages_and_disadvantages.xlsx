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RPG\Archivum\Streamlit\app\data\"/>
    </mc:Choice>
  </mc:AlternateContent>
  <xr:revisionPtr revIDLastSave="0" documentId="13_ncr:1_{63DF27AB-9592-41FC-9AC2-D120C652F7E3}" xr6:coauthVersionLast="47" xr6:coauthVersionMax="47" xr10:uidLastSave="{00000000-0000-0000-0000-000000000000}"/>
  <bookViews>
    <workbookView xWindow="28680" yWindow="-120" windowWidth="29040" windowHeight="16440" activeTab="1" xr2:uid="{00000000-000D-0000-FFFF-FFFF00000000}"/>
  </bookViews>
  <sheets>
    <sheet name="advantages" sheetId="1" r:id="rId1"/>
    <sheet name="disadvantag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4" i="2" l="1"/>
  <c r="A114" i="2"/>
  <c r="B113" i="2"/>
  <c r="A113" i="2"/>
  <c r="B112" i="2"/>
  <c r="A112" i="2"/>
  <c r="B111" i="2"/>
  <c r="A111" i="2"/>
  <c r="B110" i="2"/>
  <c r="A110" i="2"/>
  <c r="B109" i="2"/>
  <c r="A109" i="2"/>
  <c r="B108" i="2"/>
  <c r="A108" i="2"/>
  <c r="B107" i="2"/>
  <c r="A107" i="2"/>
  <c r="B106" i="2"/>
  <c r="A106" i="2"/>
  <c r="B105" i="2"/>
  <c r="A105" i="2"/>
  <c r="B104" i="2"/>
  <c r="A104" i="2"/>
  <c r="B103" i="2"/>
  <c r="A103" i="2"/>
  <c r="B102" i="2"/>
  <c r="A102" i="2"/>
  <c r="B101" i="2"/>
  <c r="A101" i="2"/>
  <c r="B100" i="2"/>
  <c r="A100" i="2"/>
  <c r="B99" i="2"/>
  <c r="A99" i="2"/>
  <c r="B98" i="2"/>
  <c r="A98" i="2"/>
  <c r="B97" i="2"/>
  <c r="A97" i="2"/>
  <c r="B96" i="2"/>
  <c r="A96" i="2"/>
  <c r="B95" i="2"/>
  <c r="A95" i="2"/>
  <c r="B94" i="2"/>
  <c r="A94" i="2"/>
  <c r="B93" i="2"/>
  <c r="A93" i="2"/>
  <c r="B92" i="2"/>
  <c r="A92" i="2"/>
  <c r="B91" i="2"/>
  <c r="A91" i="2"/>
  <c r="B90" i="2"/>
  <c r="A90" i="2"/>
  <c r="B89" i="2"/>
  <c r="A89" i="2"/>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B73" i="2"/>
  <c r="A73" i="2"/>
  <c r="B72" i="2"/>
  <c r="A72" i="2"/>
  <c r="B71" i="2"/>
  <c r="A71" i="2"/>
  <c r="B70" i="2"/>
  <c r="A70" i="2"/>
  <c r="B69" i="2"/>
  <c r="A69" i="2"/>
  <c r="B68" i="2"/>
  <c r="A68" i="2"/>
  <c r="B67" i="2"/>
  <c r="A67" i="2"/>
  <c r="B66" i="2"/>
  <c r="A66" i="2"/>
  <c r="B65" i="2"/>
  <c r="A65" i="2"/>
  <c r="B64" i="2"/>
  <c r="A64" i="2"/>
  <c r="B63" i="2"/>
  <c r="A63" i="2"/>
  <c r="B62" i="2"/>
  <c r="A62" i="2"/>
  <c r="B61" i="2"/>
  <c r="A61" i="2"/>
  <c r="B60" i="2"/>
  <c r="A60" i="2"/>
  <c r="B59" i="2"/>
  <c r="A59" i="2"/>
  <c r="B58" i="2"/>
  <c r="A58" i="2"/>
  <c r="B57" i="2"/>
  <c r="A57" i="2"/>
  <c r="B56" i="2"/>
  <c r="A56" i="2"/>
  <c r="B55" i="2"/>
  <c r="A55" i="2"/>
  <c r="B54" i="2"/>
  <c r="A54" i="2"/>
  <c r="B53" i="2"/>
  <c r="A53" i="2"/>
  <c r="B52" i="2"/>
  <c r="A52" i="2"/>
  <c r="B51" i="2"/>
  <c r="A51" i="2"/>
  <c r="B50" i="2"/>
  <c r="A50" i="2"/>
  <c r="B49" i="2"/>
  <c r="A49" i="2"/>
  <c r="B48" i="2"/>
  <c r="A48" i="2"/>
  <c r="B47" i="2"/>
  <c r="A47" i="2"/>
  <c r="B46" i="2"/>
  <c r="A46" i="2"/>
  <c r="B45" i="2"/>
  <c r="A45" i="2"/>
  <c r="B44" i="2"/>
  <c r="A44" i="2"/>
  <c r="B43" i="2"/>
  <c r="A43" i="2"/>
  <c r="B42" i="2"/>
  <c r="A42" i="2"/>
  <c r="B41" i="2"/>
  <c r="A41" i="2"/>
  <c r="B40" i="2"/>
  <c r="A40" i="2"/>
  <c r="B39" i="2"/>
  <c r="A39" i="2"/>
  <c r="B38" i="2"/>
  <c r="A38" i="2"/>
  <c r="B37" i="2"/>
  <c r="A37" i="2"/>
  <c r="B36" i="2"/>
  <c r="A36" i="2"/>
  <c r="B35" i="2"/>
  <c r="A35" i="2"/>
  <c r="B34" i="2"/>
  <c r="A34" i="2"/>
  <c r="B33" i="2"/>
  <c r="A33" i="2"/>
  <c r="B32" i="2"/>
  <c r="A32" i="2"/>
  <c r="B31" i="2"/>
  <c r="A31" i="2"/>
  <c r="B30" i="2"/>
  <c r="A30" i="2"/>
  <c r="B29" i="2"/>
  <c r="A29" i="2"/>
  <c r="B28" i="2"/>
  <c r="A28" i="2"/>
  <c r="B27" i="2"/>
  <c r="A27" i="2"/>
  <c r="B26" i="2"/>
  <c r="A26" i="2"/>
  <c r="B25" i="2"/>
  <c r="A25" i="2"/>
  <c r="B24" i="2"/>
  <c r="A24" i="2"/>
  <c r="B23" i="2"/>
  <c r="A23" i="2"/>
  <c r="B22" i="2"/>
  <c r="A22" i="2"/>
  <c r="B21" i="2"/>
  <c r="A21" i="2"/>
  <c r="B20" i="2"/>
  <c r="A20" i="2"/>
  <c r="B19" i="2"/>
  <c r="A19" i="2"/>
  <c r="B18" i="2"/>
  <c r="A18" i="2"/>
  <c r="B17" i="2"/>
  <c r="A17" i="2"/>
  <c r="B16" i="2"/>
  <c r="A16" i="2"/>
  <c r="B15" i="2"/>
  <c r="A15" i="2"/>
  <c r="B14" i="2"/>
  <c r="A14" i="2"/>
  <c r="B13" i="2"/>
  <c r="A13" i="2"/>
  <c r="B12" i="2"/>
  <c r="A12" i="2"/>
  <c r="B11" i="2"/>
  <c r="A11" i="2"/>
  <c r="B10" i="2"/>
  <c r="A10" i="2"/>
  <c r="B9" i="2"/>
  <c r="A9" i="2"/>
  <c r="B8" i="2"/>
  <c r="A8" i="2"/>
  <c r="B7" i="2"/>
  <c r="A7" i="2"/>
  <c r="B6" i="2"/>
  <c r="A6" i="2"/>
  <c r="B5" i="2"/>
  <c r="A5" i="2"/>
  <c r="B4" i="2"/>
  <c r="A4" i="2"/>
  <c r="B3" i="2"/>
  <c r="A3" i="2"/>
  <c r="B2" i="2"/>
  <c r="B98" i="1"/>
  <c r="A98" i="1"/>
  <c r="B97" i="1"/>
  <c r="A97" i="1"/>
  <c r="B96" i="1"/>
  <c r="A96" i="1"/>
  <c r="B95" i="1"/>
  <c r="A95" i="1"/>
  <c r="B94" i="1"/>
  <c r="A94" i="1"/>
  <c r="B93" i="1"/>
  <c r="A93" i="1"/>
  <c r="B92" i="1"/>
  <c r="A92" i="1"/>
  <c r="B91" i="1"/>
  <c r="A91" i="1"/>
  <c r="B90" i="1"/>
  <c r="A90" i="1"/>
  <c r="B89" i="1"/>
  <c r="A89" i="1"/>
  <c r="B88" i="1"/>
  <c r="A88" i="1"/>
  <c r="B87" i="1"/>
  <c r="A87" i="1"/>
  <c r="B86" i="1"/>
  <c r="A86" i="1"/>
  <c r="B85" i="1"/>
  <c r="A85" i="1"/>
  <c r="B84" i="1"/>
  <c r="A84" i="1"/>
  <c r="B83" i="1"/>
  <c r="A83" i="1"/>
  <c r="B82" i="1"/>
  <c r="A82" i="1"/>
  <c r="B81" i="1"/>
  <c r="A81" i="1"/>
  <c r="B80" i="1"/>
  <c r="A80" i="1"/>
  <c r="B79" i="1"/>
  <c r="A79" i="1"/>
  <c r="B78" i="1"/>
  <c r="A78" i="1"/>
  <c r="B77" i="1"/>
  <c r="A77" i="1"/>
  <c r="B76" i="1"/>
  <c r="A76" i="1"/>
  <c r="B75" i="1"/>
  <c r="A75" i="1"/>
  <c r="B74" i="1"/>
  <c r="A74" i="1"/>
  <c r="B73" i="1"/>
  <c r="A73" i="1"/>
  <c r="B72" i="1"/>
  <c r="A72" i="1"/>
  <c r="B71" i="1"/>
  <c r="A71" i="1"/>
  <c r="B70" i="1"/>
  <c r="A70" i="1"/>
  <c r="B69" i="1"/>
  <c r="A69" i="1"/>
  <c r="B68" i="1"/>
  <c r="A68" i="1"/>
  <c r="B67" i="1"/>
  <c r="A67" i="1"/>
  <c r="B66" i="1"/>
  <c r="A66" i="1"/>
  <c r="B65" i="1"/>
  <c r="A65" i="1"/>
  <c r="B64" i="1"/>
  <c r="A64" i="1"/>
  <c r="B63" i="1"/>
  <c r="A63" i="1"/>
  <c r="B62" i="1"/>
  <c r="A62" i="1"/>
  <c r="B61" i="1"/>
  <c r="A61" i="1"/>
  <c r="B60" i="1"/>
  <c r="A60" i="1"/>
  <c r="B59" i="1"/>
  <c r="A59" i="1"/>
  <c r="B58" i="1"/>
  <c r="A58" i="1"/>
  <c r="B57" i="1"/>
  <c r="A57" i="1"/>
  <c r="B56" i="1"/>
  <c r="A56" i="1"/>
  <c r="B55" i="1"/>
  <c r="A55" i="1"/>
  <c r="B54" i="1"/>
  <c r="A54" i="1"/>
  <c r="B53" i="1"/>
  <c r="A53" i="1"/>
  <c r="B52" i="1"/>
  <c r="A52" i="1"/>
  <c r="B51" i="1"/>
  <c r="A51" i="1"/>
  <c r="B50" i="1"/>
  <c r="A50" i="1"/>
  <c r="B49" i="1"/>
  <c r="A49" i="1"/>
  <c r="B48" i="1"/>
  <c r="A48" i="1"/>
  <c r="B47" i="1"/>
  <c r="A47" i="1"/>
  <c r="B46" i="1"/>
  <c r="A46" i="1"/>
  <c r="B45" i="1"/>
  <c r="A45" i="1"/>
  <c r="B44" i="1"/>
  <c r="A44" i="1"/>
  <c r="B43" i="1"/>
  <c r="A43" i="1"/>
  <c r="B42" i="1"/>
  <c r="A42" i="1"/>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B25" i="1"/>
  <c r="A25" i="1"/>
  <c r="B24" i="1"/>
  <c r="A24" i="1"/>
  <c r="B23" i="1"/>
  <c r="A23" i="1"/>
  <c r="B22" i="1"/>
  <c r="A22" i="1"/>
  <c r="B21" i="1"/>
  <c r="A21" i="1"/>
  <c r="B20" i="1"/>
  <c r="A20" i="1"/>
  <c r="B19" i="1"/>
  <c r="A19" i="1"/>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2" i="1"/>
</calcChain>
</file>

<file path=xl/sharedStrings.xml><?xml version="1.0" encoding="utf-8"?>
<sst xmlns="http://schemas.openxmlformats.org/spreadsheetml/2006/main" count="857" uniqueCount="359">
  <si>
    <t>advantage_id</t>
  </si>
  <si>
    <t>advantage_box_name</t>
  </si>
  <si>
    <t>advantage_name</t>
  </si>
  <si>
    <t>advantage_cost</t>
  </si>
  <si>
    <t>advantage_type</t>
  </si>
  <si>
    <t>advantage_description</t>
  </si>
  <si>
    <t>advantage_source_page</t>
  </si>
  <si>
    <t>ADV-000</t>
  </si>
  <si>
    <t>ATRAENTE</t>
  </si>
  <si>
    <t>Social</t>
  </si>
  <si>
    <t xml:space="preserve">
- Esta pessoa não entra em concursos de beleza mas tem uma aparência definitivamente atraente.
- Bônus de +1 em todos os Teste de Reação frente a personagens de sua própria raça.</t>
  </si>
  <si>
    <t>Módulo Básico</t>
  </si>
  <si>
    <t>ELEGANTE/BONITO</t>
  </si>
  <si>
    <t xml:space="preserve">
- Esta é uma pessoa que pode entrar em concursos de beleza.
- Recebe um bônus de +2 em Testes de Reação feitos com pessoas do mesmo sexo; +4 com pessoas do sexo oposto — desde que com pessoas da mesma raça ou raça semelhante.</t>
  </si>
  <si>
    <t>MUITO BONITO</t>
  </si>
  <si>
    <t xml:space="preserve">
- Entra em concursos de beleza e ganha com regularidade.
- Bônus de +2 em Testes de Reação com pessoas do mesmo sexo.
- Bônus de +6 em Testes de Reação com pessoas do sexo oposto.
- Exceção: Pessoas do mesmo sexo que já tenham algum motivo para não gostar do personagem (mais de 4 pontos devido a modificadores de reação negativos, independentemente dos bônus de reação positivos).
- Neste caso, eles se sentirão melindrados por sua aparência e, ao invés de um bônus de +2, o personagem estará submetido a um redutor de -2 pontos. Este problema aparecerá a critério do Mestre.
- Dependendo do lugar onde estiver, poderá vir a ser importunado por caçadores de talentos, bêbados amigáveis, mercadores de escravos e outros inconvenientes.</t>
  </si>
  <si>
    <t>CONFORTÁVEL</t>
  </si>
  <si>
    <t xml:space="preserve">
- Trabalha para viver, mas o estilo de vida é melhor do que o da média.
- Também trabalha 40 horas por semana.
- A quantidade inicial de recursos é o dobro da média.</t>
  </si>
  <si>
    <t>RICO</t>
  </si>
  <si>
    <t xml:space="preserve">
- Recebe inicialmente uma quantidade de recursos igual ao quíntuplo da média e vive muito bem.
- Seu trabalho ocupa apenas 20 horas por semana. (Num emprego que pague mal, como o de “criado” por exemplo, você não ganhará mais do que os outros, mas ainda dispõe dos recursos com que iniciou e ainda trabalha 20 horas por semana).</t>
  </si>
  <si>
    <t>MUITO RICO</t>
  </si>
  <si>
    <t xml:space="preserve">
- Recebe inicialmente uma quantidade de recursos igual a 20 vezes a da média.
- Trabalha apenas 10 horas por semana, cuidando de negócios (o que dificilmente seria um emprego).</t>
  </si>
  <si>
    <t>PODRE DE RICO</t>
  </si>
  <si>
    <t xml:space="preserve">
- Recebe inicialmente uma quantidade de recursos igual a 100 vezes a da média.
- Trabalha 10 horas por semana, à procura de negócios.
- Você pode comprar o que quiser sem precisar se preocupar com o preço.</t>
  </si>
  <si>
    <t>REPUTAÇÃO 1</t>
  </si>
  <si>
    <t xml:space="preserve">
A reputação pode ser uma vantagem ou uma desvantagem. Ela afeta as reações ao seu personagem com base no que as pessoas ouviram falar sobre você. Em contraste, o Estigma Social e o Trato Social são reações baseadas no que você é, e não em quem você é. A reputação tem quatro componentes:
- Detalhe (A razão de você ser conhecido)
- Modificador de Reação: ±5/nível; máximo de ±4
- Pessoas Afetadas
- Frequência de Reconhecimento
É possível ter mais de uma reputação, e as reputações podem se sobrepor. A soma dessas combinações não pode ser inferior a -4 nem superior a +4.</t>
  </si>
  <si>
    <t>REPUTAÇÃO 2</t>
  </si>
  <si>
    <t>REPUTAÇÃO 3</t>
  </si>
  <si>
    <t>REPUTAÇÃO 4</t>
  </si>
  <si>
    <t>AMBIDESTRIA</t>
  </si>
  <si>
    <t>Física</t>
  </si>
  <si>
    <t xml:space="preserve">
- O personagem é capaz de usar as duas mãos com a mesma habilidade.
- Ele não está sujeito ao redutor de -4 sobre seu atributo DX por estar usando a mão ambiesquerda e pode lutar (ou agir) com qualquer uma das mãos indistintamente, ou com ambas de uma vez (em um Ataque Total).
- Se acontecer algum acidente com um de seus braços, assuma que foi com o esquerdo.</t>
  </si>
  <si>
    <t>CARISMA +1</t>
  </si>
  <si>
    <t xml:space="preserve">
- Esta é a aptidão natural para impressionar e liderar outras pessoas.
- Qualquer um pode conseguir um carisma ilusório através da boa aparência, boas maneiras e inteligência, mas o carisma real funciona independente da presença destes fatores.
- Ele afeta qualquer teste de reação feito por uma criatura inteligente.</t>
  </si>
  <si>
    <t>CARISMA +2</t>
  </si>
  <si>
    <t>CARISMA +3</t>
  </si>
  <si>
    <t>CARISMA +4</t>
  </si>
  <si>
    <t>CARISMA +5</t>
  </si>
  <si>
    <t>CLERICATO ESPIRITUAL</t>
  </si>
  <si>
    <t xml:space="preserve">
- O personagem foi ordenado como ministro de alguma religião.
- Um clérigo tem alguns poderes e privilégios que um leigo não tem, incluindo um bônus de +1 em testes de reação com correligionários ou pessoas que respeitam sua fé.
- Os outros personagens dirigir-se-ão a ele (ou ela) usando um título: Padre, Irmã, Reverendo, Shaman, etc.
- Um clérigo poderá realizar cerimônias como Confirmação, Casamento e Exorcismo.
- O Mestre deve decidir se, em sua campanha, se os clérigos serão capazes de invocar ajuda ativa do Além. Se assim for e, se os clérigos forem conhecidos por serem capazes de conseguir esta ajuda, o Clericato custará 10 pontos ou mais. Se o Clericato for (até onde os jogadores sabem) apenas uma vantagem social, ele custará 5 pontos.</t>
  </si>
  <si>
    <t>CLERICATO SOCIAL</t>
  </si>
  <si>
    <t>EMPATIA COM ANIMAIS</t>
  </si>
  <si>
    <t>Mental</t>
  </si>
  <si>
    <t>O personagem entende e gosta de animais, e eles gostam do personagem. Ele recebe um bônus de +2 em qualquer teste de reação com um animal selvagem, e de +4 em testes que envolvam perícias com animais (Adestramento de Animais, Cavalgar, Veterinária, etc...). No entanto, você nunca poderá matar um animal sem uma razão muito boa, e deverá tentar evitar que outros o façam. Note que matar para se alimentar é perfeitamente aceitável e, numa caçada o personagem receberia um bônus igual a +3 na sua tentativa de encontrar caça.</t>
  </si>
  <si>
    <t>NOÇÃO EXATA DO TEMPO</t>
  </si>
  <si>
    <t xml:space="preserve">
- Você tem um relógio mental acurado.
- A menos que tenha sido nocauteado, hipnotizado ou sofrido algum outro tipo de interferência, você sempre sabe a hora exata.
- Você também é capaz de medir com precisão qualquer lapso de tempo.
- O sono não interfere com esta sua capacidade (e você pode, inclusive, acordar numa hora pré-determina-da).
- Mudanças de fuso horário também não o afetam.
- As viagens no tempo irão confundi-lo até que descubra qual é o “novo” horário.</t>
  </si>
  <si>
    <t>OUVIDO AGUÇADO +1</t>
  </si>
  <si>
    <t xml:space="preserve">
- O personagem recebe um bônus toda vez que tiver que fazer um teste de Audição, para verificar se é capaz de ouvir alguma coisa, ou quando o Mestre faz uma jogada contra seu atributo IQ para ver se ele notou algum ruído.</t>
  </si>
  <si>
    <t>OUVIDO AGUÇADO +2</t>
  </si>
  <si>
    <t>OUVIDO AGUÇADO +3</t>
  </si>
  <si>
    <t>OUVIDO AGUÇADO +4</t>
  </si>
  <si>
    <t>OUVIDO AGUÇADO +5</t>
  </si>
  <si>
    <t>PALADAR/OLFATO APURADOS +1</t>
  </si>
  <si>
    <t xml:space="preserve">
- O personagem recebe um bônus em todas as seus testes de Olfato ou Paladar.
- O Mestre poderia jogar para ver se você percebeu o cheiro ou o sabor de um veneno em sua bebida.</t>
  </si>
  <si>
    <t>PALADAR/OLFATO APURADOS +2</t>
  </si>
  <si>
    <t>PALADAR/OLFATO APURADOS +3</t>
  </si>
  <si>
    <t>PALADAR/OLFATO APURADOS +4</t>
  </si>
  <si>
    <t>PALADAR/OLFATO APURADOS +5</t>
  </si>
  <si>
    <t>PRONTIDÃO +1</t>
  </si>
  <si>
    <t xml:space="preserve">
- Este é um bônus geral que o personagem recebe em testes de qualquer um dos Sentidos ou quando o Mestre faz um teste de IQ para verificar se ele percebeu alguma coisa.
- Esta vantagem pode ser combinada com qualquer uma (ou todas) as vantagens relacionadas com agudeza dos sentidos.</t>
  </si>
  <si>
    <t>PRONTIDÃO +2</t>
  </si>
  <si>
    <t>PRONTIDÃO +3</t>
  </si>
  <si>
    <t>PRONTIDÃO +4</t>
  </si>
  <si>
    <t>PRONTIDÃO +5</t>
  </si>
  <si>
    <t>SENSO DE DIREÇÃO</t>
  </si>
  <si>
    <t xml:space="preserve">
- O personagem sempre sabe para onde fica o Norte e é sempre capaz de refazer um trajeto realizado durante os últimos 30 dias, não importa quão confuso ou tortuoso ele tenha sido.
- Esta aptidão não funciona em ambientes como o espaço interestelar, o limbo do plano astral, etc.
- Mas ela funciona em ambientes subterrâneos, debaixo d’água e em outros planetas.
- Esta vantagem dá um bônus de +3 para a perícia Navegação do personagem.</t>
  </si>
  <si>
    <t>VISÃO AGUÇADA +1</t>
  </si>
  <si>
    <t xml:space="preserve">
- O personagem recebe um bônus em todos os testes de Visão, quando ele está procurando alguma coisa, e sempre que o Mestre fizer um teste contra seu atributo IQ para verificar se ele percebeu alguma coisa.</t>
  </si>
  <si>
    <t>VISÃO AGUÇADA +2</t>
  </si>
  <si>
    <t>VISÃO AGUÇADA +3</t>
  </si>
  <si>
    <t>VISÃO AGUÇADA +4</t>
  </si>
  <si>
    <t>VISÃO AGUÇADA +5</t>
  </si>
  <si>
    <t>BOM SENSO</t>
  </si>
  <si>
    <t xml:space="preserve">
- Toda vez, que o personagem começar a fazer alguma coisa que o Mestre acha ESTÚPIDA, ele fará um teste contra seu atributo IQ.
- Um sucesso nesta jogada significa que ele deverá avisar o personagem — “Você não acha que seria bom pensar melhor no assunto?”
- Esta Vantagem permite que um jogador impulsivo desempenhe o papel de um personagem ponderado.</t>
  </si>
  <si>
    <t>EMPATIA</t>
  </si>
  <si>
    <t xml:space="preserve">
- O personagem tem uma “sensibilidade” para com as outras pessoas.
- Quando encontra alguém pela primeira vez ou depois de uma longa separação, ele poderá pedir ao Mestre que faça um teste contra seu atributo IQ.
- O Mestre dirá então o que o personagem “sente” com relação àquela pessoa. (Note que uma falha nesta jogada significa que o Mestre pode mentir para você.)
- Este talento, quando funciona, é excelente para identificar impostores, possessões por espíritos, etc., e determinar a quem os NPCs são efetivamente leais.
- Esta Vantagem pode também ser usada para descobrir se alguém está mentindo ou não.
- Note que ela não serve para obter a verdade, apenas para verificar se os NPCs estão sendo sinceros ou não.</t>
  </si>
  <si>
    <t>FACILIDADE PARA LINGUAS +1</t>
  </si>
  <si>
    <t xml:space="preserve">
- Você aprende línguas rapidamente.
- Esta aptidão pode ser exercida simultaneamente com outras.
- Se você tiver Memória Eidética e Facilidade para Línguas, estará falando 20 línguas em pouco tempo.
- Adicione o nível de Facilidade para Línguas ao seu atributo IQ toda vez que você estiver aprendendo uma língua. 
- Exemplo: seu atributo IQ é igual a 10, sua Facilidades para Língua é 2.
- Você aprende línguas como se sua Inteligência fosse igual a 12.
- Você recebe o mesmo bônus com a perícia Linguística.</t>
  </si>
  <si>
    <t>FACILIDADE PARA LINGUAS +2</t>
  </si>
  <si>
    <t>FACILIDADE PARA LINGUAS +3</t>
  </si>
  <si>
    <t>FACILIDADE PARA LINGUAS +4</t>
  </si>
  <si>
    <t>FACILIDADE PARA LINGUAS +5</t>
  </si>
  <si>
    <t>HIPOALGIA</t>
  </si>
  <si>
    <t xml:space="preserve">
- O personagem é tão suscetível a danos, quanto qualquer outra pessoa, mas ele não sente a dor com a mesma intensidade.
- Ele não ficará atordoado, nem seu atributo DX será submetido ao redutor normalmente aplicado no turno seguinte, caso venha a ser ferido em combate (exceção: um golpe na cabeça ou um golpe fulminante continuarão provocando o atordoamento do personagem).
- No caso de ser submetido a tortura física, ele receberá um bônus igual a +3 no teste de sua resistência.
- O Mestre poderá permitir que ele receba um bônus de +3 em testes de Vontade, para ver se é capaz de ignorar a dor.</t>
  </si>
  <si>
    <t>IMUNIDADE</t>
  </si>
  <si>
    <t xml:space="preserve">
- Seu corpo resiste naturalmente aos microrganismos que provocam doenças.
- Você nunca pegará uma doença ou infecção “naturalmente”.
- Se você for inoculado à força, seu corpo expulsará o microrganismo imediatamente.
- Invasões de fungos e vírus são também consideradas “doenças”, mas infestações por parasitas maiores (como por exemplo solitária) não.
- Você não pode adquirir esta vantagem, a menos que sua HT inicial seja maior ou igual a 12.
- No entanto, mesmo que mais tarde a HT venha a se reduzir a um valor menor do que 12, a imunidade permanecerá.</t>
  </si>
  <si>
    <t>INTUIÇÃO</t>
  </si>
  <si>
    <t xml:space="preserve">
- O personagem normalmente acerta em suas conjecturas.
- Quando ele estiver frente a várias alternativas e não tiver nenhuma maneira lógica de escolher entre elas, poderá usar a intuição da seguinte forma: O Mestre soma seu IQ ao número de escolhas “corretas” e subtrai o número de escolhas “incorretas” e faz uma jogada contra o resultado.
- Um sucesso significa que ele dirigirá o personagem a uma opção favorável.
- Um resultado igual a 3 ou 4 significa que ele deverá indicar a melhor opção.
- Um fracasso significa que o personagem não receberá informação nenhuma. Uma falha crítica significa que o Mestre indicará uma opção ruim para o personagem ... sua intuição falhou.
- O Mestre pode modificar este sistema sempre que achar que as regras se prestam a outras situaçães onde a intuição poderia ajudar.
- É permitida apenas uma jogada para cada problema.
- Observe também, que o Mestre não pode consentir que esta Vantagem seja usada para abreviar uma aventura, permitindo que o detetive intuitivo entre em uma sala, coloque as algemas nos culpados e encerre o caso.
- A intuição, no máximo, indicaria ao detetive uma boa pista.
- Mestres que não se acham capazes de controlar esta vantagem convenientemente não deverão permitir que ela seja assumida.</t>
  </si>
  <si>
    <t>MEMORIA EIDÉTICA PARCIAL</t>
  </si>
  <si>
    <t xml:space="preserve">
- O personagem é capaz de se lembrar de tudo o que ele já viu ou ouviu.
- Esta aptidão existe em dois níveis, no primeiro ele é capaz de se lembrar, num sentido geral, de tudo em que concentrar sua atenção.
- Portanto, todos os pontos que forem colocados em perícias mentais contarão em dobro (não existe bônus para mágicas ou perícias psíquicas).
- Além disso, sempre que o personagem tiver necessidade de se lembrar de um detalhe específico de alguma coisa que lhe foi contada, o Mestre fará um teste contra seu atributo IQ.
- Um sucesso nesta jogada significa que ele deve dar a informação ao personagem.</t>
  </si>
  <si>
    <t>MEMORIA EIDÉTICA TOTAL</t>
  </si>
  <si>
    <t xml:space="preserve">
- O personagem é capaz de se lembrar de tudo o que ele já viu ou ouviu.
- Esta aptidão existe em dois níveis, no segundo nível, ele tem realmente uma “memória fotográfica”.
- O personagem será capaz de se lembrar de tudo o que já aconteceu com ele.
- Todos os pontos colocados em perícias mentais valerão o quádruplo.
- Além disso, toda vez que você (como jogador) esquecer qualquer detalhe que seu personagem tenha visto ou ouvido, o Mestre ou os outros jogadores deverão lembrá-lo — honestamente!</t>
  </si>
  <si>
    <t>NOÇÃO DO PERIGO</t>
  </si>
  <si>
    <t xml:space="preserve">
- Você não pode contar com ela sempre, mas de vez em quando você tem aquela sensação esquisita na nuca que diz que alguma coisa está errada...
- Se você tem Noção do Perigo, o Mestre fará, em segredo, um teste contra seu atributo IQ sempre que a situação envolver uma emboscada, um desastre iminente ou algum outro perigo do gênero.
- Um sucesso nesta jogada significa que você deve receber um aviso de que alguma coisa está errada.
- Um resultado igual a 3 ou 4 significa que o Mestre lhe dará alguns pequenos detalhes sobre a natureza do perigo.</t>
  </si>
  <si>
    <t>REFLEXOS EM COMBATE</t>
  </si>
  <si>
    <t xml:space="preserve">
- O personagem tem reações extremamente rápidas e raramente ficará surpreso por mais do que um breve instante.
- Ele receberá um bônus de + 1 em qualquer Defesa Ativa.
- Tem direito, também, a um bônus de +1 na perícia Sacar Rápido, um bônus igual a +2 em Verificações de Pânico e nunca ficará “paralisado” devido à surpresa.
- Nos testes de IQ feitos para despertar, ou se recuperar de uma surpresa ou de “atordoamento” mental, o personagem receberá um bônus de +6.</t>
  </si>
  <si>
    <t>ULTRA-FLEXIBILIDADE DAS JUNTAS</t>
  </si>
  <si>
    <t xml:space="preserve">
- O corpo do personagem é extraordinariamente flexível.
- Ele receberá um bônus igual a +3 em qualquer teste de Escalada ou tentativas de se livrar de cordas, algemas ou outros meios similares de restrição de movimento e também em testes de Mecânica (para conseguir alcançar as partes de um motor).</t>
  </si>
  <si>
    <t>ABASCANTO +1</t>
  </si>
  <si>
    <t>Mágica</t>
  </si>
  <si>
    <t xml:space="preserve">
- Você tem mais chance de não ser afetado pela maioria dos tipos de magia.
- Note que esta vantagem não pode ser combinada com Aptidão Mágica.
- Não é possível ter aptidão para magia e ao mesmo tempo, ser resistente a ela. Na verdade, se você tiver Resistência à Magia, você não será capaz de realizar nenhuma Mágica (apesar de ainda poder usar armas mágicas).
- Também não é possível “desligar” esta vantagem para permitir que uma mágica benéfica seja realizada sobre você.
- O Abascanto, e seu nível preciso, podem ser reconhecidos por qualquer mago que olhe para sua aura ou por qualquer um que realize uma mágica contra sua pessoa.
- O seu nível de Resistência à Magia é subtraído do nível de habilidade de quem realiza a operação.
- Se sua Resistência à Magia for igual a 3 e o nível de habilidade do operador for igual a 15, seu nível efetivo será 12.
- Se você optar por resistir, o seu Abascanto também aumenta sua capacidade de resistir a mágicas que podem ser bloqueadas.
- Portanto, esta vantagem o protege de uma mágica feita diretamente contra você.
- Ela não o defende contra (a) mágicas de projétil; (b) ataques com armas mágicas; (c) mágicas realizadas com o intuito de colher informaçães, que não são realizadas diretamente sobre você (como uma profecia ou uma bola de cristal).</t>
  </si>
  <si>
    <t>ABASCANTO +2</t>
  </si>
  <si>
    <t>ABASCANTO +3</t>
  </si>
  <si>
    <t>ABASCANTO +4</t>
  </si>
  <si>
    <t>ABASCANTO +5</t>
  </si>
  <si>
    <t>ALFABETIZADO</t>
  </si>
  <si>
    <t xml:space="preserve">
- Apesar de isto ser uma perícia na vida real, no entanto, é uma habilidade incomum e seu valor varia enormemente de um cenário para outro. Por esse motivo, exige um tratamento especial!.
- Em geral, presume-se que o personagem é alfabetizado se a maioria da população de seu mundo o for, e analfabeto se a maioria das pessoas também for (NT4 ou menor).
- Ser alfabetizado em um mundo onde a maioria das pessoas não sabe ler é uma vantagem que vale 10 pontos.
- Ser analfabeto num mundo onde a maioria das pessoas sabe ler é uma desvantagem que vale -10 pontos.</t>
  </si>
  <si>
    <t>APTIDÃO MÁGICA +1</t>
  </si>
  <si>
    <t xml:space="preserve">
- Você tem um bônus no aprendizado de todas as operaçães mágicas.
- Naturalmente, se você pertencer a uma cultura sem magia, começará sem nenhum conhecimento sobre mágicas, mas poderá aprendê-las com mais facilidade se encontrar uma oportunidade.
- Quando entrar em um mundo mágico, todos aqueles que puderem detectar sua aura o reconhecerão como um usuário de magia potencialmente poderoso, apesar de inexperiente.
- Eles podem querer ensiná-lo ou matá-lo.
- Quando aprender qualquer operação mágica, você o fará como se sua Inteligência fosse igual a (IQ + Aptidão). 
- Exemplo: você tem IQ igual a 14 e uma Aptidão Mágica igual a 3, você aprende operaçães mágicas como se sua IQ fosse 17.
- Além disso, o Mestre fará testes contra seu (IQ + Aptidão) quando você vir um objeto encantado pela primeira vez, e outro quando você o tocar pela primeira vez.
- No caso de sucesso, você saberá intuitivamente que ele é encantado.
- Um resultado igual a 3 ou 4 dirá também, se a magia é salutar ou perigosa e qual a sua intensidade.
- Exemplo: se tiver IQ igual a 13 e 3 níveis de Aptidão, você reconhecerá um objeto encantado com um resultado menor ou igual a 16. Se a jogada falhar, o Mestre simplesmente não lhe dirá nada.</t>
  </si>
  <si>
    <t>APTIDÃO MÁGICA +2</t>
  </si>
  <si>
    <t>APTIDÃO MÁGICA +3</t>
  </si>
  <si>
    <t>CÁLCULOS INSTANTÂNEOS</t>
  </si>
  <si>
    <t xml:space="preserve">
- O personagem é capaz de realizar operaçães matemáticas de cabeça instantaneamente.
- Se seu personagem tiver esta aptidão, você (jogador) poderá usar uma calculadora a qualquer momento, para calcular o que desejar — mesmo que seu personagem esteja correndo para salvar sua vida na hora.
- Alternativamente, o Mestre pode simplesmente dizer que o personagem sabe a resposta de um problema simples de matemática.</t>
  </si>
  <si>
    <t>LONGEVIDADE</t>
  </si>
  <si>
    <t xml:space="preserve">
- Seu tempo de vida é naturalmente longo.
- Você falhará em testes de envelhecimento, somente se obtiver um resultado igual a 17 ou 18.
- Um personagem com esta vantagem não receberá nenhum ponto ao assumir a desvantagem da Idade.</t>
  </si>
  <si>
    <t>PODERES LEGAIS</t>
  </si>
  <si>
    <t xml:space="preserve">
- Você é um oficial da lei, com todos os direitos, poderes e restrições que acompanham o cargo.
- Em algumas épocas e lugares isto equivale a uma licença para matar, em outros, é pouco mais que o direito de carregar um distintivo e lavrar multas por estacionamento proibido.
- O custo em pontos é determinado pelos direitos e privilégios inerentes à posição ocupada pelo personagem.
- Geralmente, para um policial com jurisdição local, a habilidade de prender criminosos suspeitos, o direito de realizar buscas com o devido mandado e possivelmente o direito de carregar uma arma escondida, vale 5 pontos de Poderes Legais.
- Exemplos deste caso seriam um policial da Era Vitoriana ou um atual.
 Alguém com jurisdição nacional ou internacional, ou não obrigado a respeitar os direitos civis dos outros, ou com liberdade para envolver-se em uma investigação secreta, ou capaz de matar com relativa impunidade, deve pagar 10 pontos por seus poderes.
- Exemplos seriam um agente do FBI ou um membro da Guarda Real na Idade Média.
- Um oficial com 3 ou mais das habilidades descritas acima tem 15 pontos de Poderes Legais.
- Um exemplo poderia ser um agente graduado da CIA, KGB ou MI-5.
- Os Poderes Legais normalmente andam de mãos dadas com a desvantagem do Dever e com uma Reputação, o que pode ser uma vantagem, uma desvantagem, ou ambos.</t>
  </si>
  <si>
    <t>SORTE</t>
  </si>
  <si>
    <t xml:space="preserve">
- Algumas pessoas simplesmente nasceram com sorte.
- Uma vez a cada hora de jogo, você pode fazer até três testes de alguma coisa e escolher o melhor resultado.
- Se o Mestre estiver fazendo a jogada (ex.: para ver se um certo NPC chega, ou para verificar se você nota alguma coisa), você lhe diz que está usando sua sorte e ele deverá jogar três vezes e lhe dar o melhor resultado.
- Sua sorte se aplica somente a jogadas feitas pelo seu personagem como uma tentativa de fazer alguma coisa, OU em eventos externos que o afetam ou a todo o grupo, OU quando você está sendo atacado (neste caso você pode fazer o atacante jogar três vezes e assumir o pior resultado).
- Note também que a Sorte não pode ser economizada. Você não pode jogar durante horas sem usar a Sorte e, depois, usá-la várias vezes em seguida!</t>
  </si>
  <si>
    <t>SORTE EXTRAORDINÁRIA</t>
  </si>
  <si>
    <t xml:space="preserve">
- Algumas pessoas simplesmente nasceram com sorte.
- Uma vez a cada 30min de jogo, você pode fazer até três testes de alguma coisa e escolher o melhor resultado.
- Se o Mestre estiver fazendo a jogada (ex.: para ver se um certo NPC chega, ou para verificar se você nota alguma coisa), você lhe diz que está usando sua sorte e ele deverá jogar três vezes e lhe dar o melhor resultado.
- Sua sorte se aplica somente a jogadas feitas pelo seu personagem como uma tentativa de fazer alguma coisa, OU em eventos externos que o afetam ou a todo o grupo, OU quando você está sendo atacado (neste caso você pode fazer o atacante jogar três vezes e assumir o pior resultado).
- Note também que a Sorte não pode ser economizada. Você não pode jogar durante horas sem usar a Sorte e, depois, usá-la várias vezes em seguida!</t>
  </si>
  <si>
    <t>HIERARQUIA MILITAR 1</t>
  </si>
  <si>
    <t xml:space="preserve">
Da mesma maneira que o Status (pág. 16) reflete sua posição na sociedade, o Posto Militar (também chamado “graduação”) reflete sua posição numa organização militar ou paramilitar. Todos os postos têm autoridade sobre os inferiores, independente da capacidade pessoal. Custo: 5 pontos por nível, até o máximo de 8 níveis. O título dos postos varia de organização para organização. Exemplos típicos:
- Nível 8: Comando de Unidade ou mais (General de Exército, General de Divisão ou Almirante)
- Nível 7: Comando de Divisão (Brigadeiro ou General de Brigada)
- Nível 6: Comando de Brigada/Grupo/Regimento (Coronel ou Capitão de um encouraçado ou porta-aviães)
- Nível 5: Comando de Batalhão (Tenente-Coronel)
- Nível 4: Comando de Companhia (Capitão ou Major)
- Nível 3: Comando de Pelotão (Tenente ou Subtenente)
- Nível 2: Oficial subalterno associado ao comando de um pelotão companhia ou batalhão (Primeiro Sargento ou Sargento- Ajudante)
- Nível 1: Oficial subalterno associado ao comando de um pelotão (Sargento ou Segundo-Sargento)
- Nível 0: Militar sem patente (Praça, Piloto-Aviador ou Marinheiro)
Em bons exércitos profissionais, os Oficiais Superiores (nível 5 ou 6) têm que ter um NH em Liderança maior ou igual a 12. Oficiais-Generais (nível maior ou igual a 7) devem ter Liderança no mínimo igual a 13. Este pré-requisito pode ser satisfeito pelo seu NH pré-definido, que é ST-5. A incompetência nos níveis mais altos não é tolerada de nenhuma forma. (Mas os oficiais incompetentes são comuns em forças menos profissionais ou dominadas politicamente.)
Recomenda-se, com veemência, que o Mestre não permita que nenhum PC seja criado com um nível maior do que 5 na Hierarquia Militar, já que postos altos são concedidos normalmente apenas para líderes de capacidade comprovada.
Um posto militar, ao contrário do Status Social, não é mantido com dinheiro. No entanto, a insubordinação, covardia muito grande ou estupidez podem provocar a perda temporária ou permanente de um posto militar, dependendo da reação do superior (representado pelo Mestre). As Patentes são conferidas por oficiais superiores (normalmente de nível maior ou igual a 6) para aumentar temporariamente seu nível hierárquico por um período de tempo pré-determinado (até o fim de uma batalha, campanha ou algo semelhante). Para manter o posto, o personagem deve satisfazer as exigências daquele posto e pagar os pontos de personagem (v. pág. 81).
Em alguns exércitos, os postos militares podem ser comprados com dinheiro. Num caso destes, o PC que for Rico, Muito Rico ou Podre de Rico receberá o nível 3 automaticamente, se desejar. Níveis ainda mais altos custam pontos de personagem além do dinheiro. Um nível de Riqueza menor ou igual a Médio exige o dobro de pontos para começar com um Posto Militar entre 1 e 6. Depois que o personagem foi criado, o posto militar poderá ser conseguido com o número normal de pontos, se a quantia de dinheiro necessária estiver disponível.
Em muitos lugares, o Posto Militar traz associado consigo algum Status Social que não precisa ser pago separadamente e não tem nenhum custo em dinheiro para ser mantido. O “NH pré-definido” aqui é 1 nível de Status para cada 3 níveis na Hierarquia Militar, arredondando para o número mais próximo. Nos lugares onde esta relação for diferente, ela será mencionada nos livros de referência.
Os Postos Militares são quase sempre acompanhados de uma carga significativa de Dever (v. pág. 39).</t>
  </si>
  <si>
    <t>HIERARQUIA MILITAR 2</t>
  </si>
  <si>
    <t>HIERARQUIA MILITAR 3</t>
  </si>
  <si>
    <t>HIERARQUIA MILITAR 4</t>
  </si>
  <si>
    <t>HIERARQUIA MILITAR 5</t>
  </si>
  <si>
    <t>HIERARQUIA MILITAR 6</t>
  </si>
  <si>
    <t>HIERARQUIA MILITAR 7</t>
  </si>
  <si>
    <t>HIERARQUIA MILITAR 8</t>
  </si>
  <si>
    <t>TALENTO MUSICAL +1</t>
  </si>
  <si>
    <t xml:space="preserve">
- Você tem um talendo natural para música e instrumentos musicais.
- Seu nível de habilidade musical deve ser adicionado a seu atributo IQ quando você está estudando Canto ou algum instrumento musical, isto é, quando estiver estudando uma perícia musical, você a aprenderá como se sua IQ fosse igual a (IQ + Talento Musical).</t>
  </si>
  <si>
    <t>TALENTO MUSICAL +2</t>
  </si>
  <si>
    <t>TALENTO MUSICAL +3</t>
  </si>
  <si>
    <t>TALENTO MUSICAL +4</t>
  </si>
  <si>
    <t>TALENTO MUSICAL +5</t>
  </si>
  <si>
    <t>VISÃO NOTURNA</t>
  </si>
  <si>
    <t xml:space="preserve">
- Seus olhos se adaptam rapidamente à escuridão.
- Você não é capaz de enxergar numa escuridão total, mas se houver alguma luz, você será capaz de enxergar muito bem. 
- Sempre que o Mestre exigir uma penalidade devido à escuridão, exceto no caso de escuridão total, esta penalidade não se aplicará a você.</t>
  </si>
  <si>
    <t>VISÃO PERIFÉRICA</t>
  </si>
  <si>
    <t xml:space="preserve">
- O personagem tem um campo de visão extraordinariamente amplo.
- Sempre que alguma coisa perigosa ou interessante acontecer “às suas costas”, o Mestre fará um teste de IQ.
- Um sucesso significará que ele viu tudo o que aconteceu, ou o suficiente para alertá-lo do perigo no caso de um ataque.
- Se o jogo estiver sendo realizado com um mapa, o personagem será capaz de atacar tanto os hexágonos à direita e à esquerda, como os que estão à sua frente. (Lembre-se de que um ataque à esquerda com uma arma empunhada com uma só mão é desajeitado e por isso considerado um “golpe molinete” - v. pág. 105).
- Se for atacado pela direita ou pela esquerda, ele será capaz de se defender sem sofrer nenhuma penalidade. Sua defesa ativa estará submetida a um redutor igual a -2 para ataques pelas costas.
- Ninguém é capaz de atacar um oponente que está exatamente atrás de si (sem aplicar um “golpe molinete”).
- Além disso, ele terá um ângulo de visão maior para ataques à distância. A figura abaixo mostra o ângulo de visão para um personagem
normal (o branco) e para alguém com visão periférica (o cinza mais o branco).</t>
  </si>
  <si>
    <t>FORÇA DE VONTADE +1</t>
  </si>
  <si>
    <t>- O personagem tem muito mais determinação que a média das pessoas.
- Seu nível de Vontade é adicionado a seu atributo IQ toda vez que ele fizer, por qualquer razão, um teste de Vontade, incluindo tentativas de influenciá- lo através da Diplomacia, Lábia, Sex Appeal, Interrogatório (com ou sem tortura), Hipnotismo ou tentativas de dominar sua mente através de magia ou
psiquismo.
- A Força de Vontade é adicionada à resistência do personagem quando ele quer resistir a uma mágica.
- Esta vantagem, no entanto, não ajuda no caso de choque em combate, etc. Em casos questionáveis, a decisão do Mestre é lei.</t>
  </si>
  <si>
    <t>FORÇA DE VONTADE +2</t>
  </si>
  <si>
    <t>FORÇA DE VONTADE +3</t>
  </si>
  <si>
    <t>FORÇA DE VONTADE +4</t>
  </si>
  <si>
    <t>FORÇA DE VONTADE +5</t>
  </si>
  <si>
    <t>RECUPERAÇÃO ALÍGERA</t>
  </si>
  <si>
    <t xml:space="preserve">
- Esta vantagem só está disponível para personagens cujo atributo HT é maior ou igual a 10.
- Quem a possui se recuperará rapidamente de todos os tipos de ferimentos.
-Toda vez que fizer um teste para verificar a recuperação da HT perdida, ou quando jogar para ver se pode curar um aleijão, deverá adicionar 5 à sua HT efetiva. Esta característica não ajuda o personagem a se recuperar de um atordoamento.</t>
  </si>
  <si>
    <t>RIJEZA +1</t>
  </si>
  <si>
    <t xml:space="preserve">
- Sua pele e carne são mais rijas do que a da média dos seres humanos.
- Seu próprio corpo tem sua Resistência a Dano.
- Esta RD é tratada da mesma forma que a de uma armadura: ela deve ser subtraída do dano causado por qualquer golpe, antes de você multiplicar o dano produzido por uma arma perfurante ou cortante.
- A Rijeza não o torna mais difícil de ser atingido, ela só faz com que você seja capaz de sobreviver a um dano maior.
- Ela também não permite que sua pele “desvie” as armas. 
- Elas ainda rompem a pele ou até mesmo provocam sangramento. Mas você não está ferido.
- No entanto, se uma arma envenenada romper sua pele, o veneno provocará seu dano normal.
- Lembre-se também que seus olhos não são rijos, um golpe que os atinja provocará o dano normal.
- Rijezas maiores que 2, não são possíveis para um ser humano “natural”.
- No entanto, algumas criaturas têm uma Rijeza natural, ou até mesmo uma armadura
natural que é capaz de interceptar armas.</t>
  </si>
  <si>
    <t>RIJEZA +2</t>
  </si>
  <si>
    <t>VOZ MELODIOSA</t>
  </si>
  <si>
    <t xml:space="preserve">
- O personagem tem uma voz clara, atraente e ressonante.
- Ele receberá um bônus permanente igual a +2 nas seguintes perícias: Trovador, Diplomacia, Atuação, Política, Trato Social, Sex Appeal e Canto.
- Receberá também um bônus igual a +2 em qualquer teste de reação feito por alguém que possa ouvir sua voz.</t>
  </si>
  <si>
    <t>disadvantage_id</t>
  </si>
  <si>
    <t>disadvantage_box_name</t>
  </si>
  <si>
    <t>disadvantage_name</t>
  </si>
  <si>
    <t>disadvantage_cost</t>
  </si>
  <si>
    <t>disadvantage_type</t>
  </si>
  <si>
    <t>disadvantage_description</t>
  </si>
  <si>
    <t>disadvantage_source_page</t>
  </si>
  <si>
    <t>DIS-000</t>
  </si>
  <si>
    <t>APARÊNCIA DESAGRADÁVEL</t>
  </si>
  <si>
    <t xml:space="preserve">
- Nada que se possa precisar com exatidão. O personagem tem algo indefinido, que provoca antipatia.
- Deve ser submetido a um redutor de -1 em Testes de Reação com membros de sua própria raça, mas não existe penalidade para membros de outras raças (o problema é muito sutil para que eles o percebam).</t>
  </si>
  <si>
    <t>FEIO</t>
  </si>
  <si>
    <t xml:space="preserve">
- Idem só que não tão intensamente. Talvez cabelos oleosos ou dentes encavalados ou cariados.
- Redutor igual a -2 em Testes de Reação, com as mesmas exceções expostas no parágrafo anterior.</t>
  </si>
  <si>
    <t>HEDIONDO</t>
  </si>
  <si>
    <t xml:space="preserve">
- Pode ser qualquer coisa especificada pelo jogador que cause aversão: corcunda, doença grave de pele, estrabismo, etc... De preferência várias coisas juntas.
- O personagem estará submetido a um redutor igual a -4 em qualquer Teste de Reação, com exceção daqueles relativos a criaturas alienígenas ou a pessoas que não o(a) podem ver (que ficarão muito surpresas quando, finalmente, o encontrarem. O Mestre poderá exigir um novo Teste de Reação quando isto acontecer).</t>
  </si>
  <si>
    <t>BATALHADOR</t>
  </si>
  <si>
    <t xml:space="preserve">
- A quantidade inicial de recursos é apenas a metade da “média” da sociedade onde ele vive.
- Gasta 40 horas por semana no emprego. 
- Todos os cargos estão a seu alcance (pode ser um médico ou ator em início de carreira), mas o salário não é alto. Esta categoria seria apropriada, por exemplo, para um estudante do século XX.</t>
  </si>
  <si>
    <t>POBRE</t>
  </si>
  <si>
    <t xml:space="preserve">
- O personagem é criado com recursos da ordem de 1/5 da “média” da sociedade onde ele vive.
- Ele passa 50 horas por semana trabalhando.
- Alguns cargos não estão a seu alcance e nenhum emprego que ele possa conseguir irá lhe pagar um bom salário.</t>
  </si>
  <si>
    <t>FALIDO</t>
  </si>
  <si>
    <t xml:space="preserve">
- Você não tem emprego ou fonte de renda, nenhum dinheiro ou outro patrimônio qualquer, que não seja a roupa do corpo.
- Você é incapaz de conseguir ttrabalho ou não existe emprego disponível.</t>
  </si>
  <si>
    <t>REPUTAÇÃO -1</t>
  </si>
  <si>
    <t>REPUTAÇÃO -2</t>
  </si>
  <si>
    <t>REPUTAÇÃO -3</t>
  </si>
  <si>
    <t>REPUTAÇÃO -4</t>
  </si>
  <si>
    <t>HABITO LEVE</t>
  </si>
  <si>
    <t xml:space="preserve">
- O personagem se comporta parte do (ou todo o) tempo de maneira repugnante aos outros.
- Quanto pior o seu comportamento, maior o número de pontos.
- Pode-se especificar o comportamento no momento em que o personagem é criado e estimar o bônus junto com o Mestre.
- Alguns exemplos: Odor de suor, coceira crônica e cantarolar o tempo todo fora de tom poderiam valer -5 pontos cada. Fazer trocadilhos de mau gosto ou cuspir no chão poderiam valer -10 pontos cada. Hábitos
dignos de um bônus de -15 pontos são possíveis, mas serão deixados a cargo da imaginação daqueles que são depravados o suficiente para desejá-los.
- Subtraia 1 ponto de todos os testes de reação feitos por pessoas capazes de observar seu hábito para cada -5 pontos de bônus conseguidos com ele.
- Lembre-se que certos hábitos repugnantes não incomodarão aos não-humanos. Um camarada que fique babando irritaria outras pessoas, mas um marciano nem notaria e um troll poderia achar atraente.
- O redutor devido a um hábito detestável deve ser usado com membros da raça do personagem e o Mestre deverá cuidar das diferentes reações de outras raças.</t>
  </si>
  <si>
    <t>HABITO DETESTÁVEL</t>
  </si>
  <si>
    <t>HABITO PESADO</t>
  </si>
  <si>
    <t>PRIMITIVISMO 1</t>
  </si>
  <si>
    <t xml:space="preserve">
- Você pertence a uma cultura com NT mais baixo que o da campanha e, por isso, não tem nenhum conhecimento (ou nível pré-definido para testes de habilidade) relacionado com equipamentos de nível tecnológico maior do que o seu.
- Só lhe é permitido começar com perícias ou equipamentos de sua cultura. (Para representar um personagem de uma raça primitiva sem esta desvantagem, assuma que ele vem de uma área quase “civilizada”.)
- O valor desta desvantagem é 5 pontos para cada ponto de diferença entre o seu nível tecnológico original e o da campanha.
- Se a raça ou cultura dominante tratar sua raça com desprezo, isto será uma desvantagem diferente (Estigma Social).
- Você não poderá desenvolver habilidade em Perícias Mentais relacionadas com equipamentos de NT elevado enquanto não recomprar esta desvantagem. Se você conseguir encontrar um professor, as Perícias Físicas poderão ser adquiridas sem nenhuma penalidade.</t>
  </si>
  <si>
    <t>PRIMITIVISMO 2</t>
  </si>
  <si>
    <t>PRIMITIVISMO 3</t>
  </si>
  <si>
    <t>PRIMITIVISMO 4</t>
  </si>
  <si>
    <t>ALBINISMO</t>
  </si>
  <si>
    <t xml:space="preserve">
- O Personagem não possui a pigmentação natural no corpo; seus pelos, cabelos e pele são brancos e os olhos são cor-de-rosa.
- Quando estivermos escolhendo a aparência do personagem ele poderá ser atraente ou feio, mas nunca será considerado “comum”.
- Um albino será sempre lembrado e não é capaz de se misturar em uma multidão. 
- Eles devem evitar o sol direto e não têm resistência à queimadura solar.
- Ele recebe 1 ponto de dano para cada 30 minutos de exposição ao sol comum, ou 1 ponto para cada 15 minutos de exposição ao sol quente do verão ou de um deserto.
- Além disso, o personagem estará sempre submetido a um redutor de -2 em testes de Visão ou ataques com armas de longo alcance, feitos à luz do sol.</t>
  </si>
  <si>
    <t>CEGUEIRA</t>
  </si>
  <si>
    <t>- O personagem não enxerga.
- Como uma compensação parcial, ele poderia começar com o Ouvido Aguçado e/ou Olfato/Paladar Apurado, pagando somente a metade dos pontos necessários.
- Além disso, ele não estará submetido a nenhuma penalidade por atuar no escuro. O personagem deverá viajar mais lenta e cuidadosamente em terreno desconhecido, ou ser guiado por um companheiro ou animal.
- Muitos atos e habilidades (um número muito grande para listar aqui) são completa- mente impossíveis para um cego. O Mestre deveria usar o bom senso nestes casos.
- Um personagem cego está submetido a um redutor de -6 em todas as perícias de combate. Ele pode usar armas de mão, mas não é capaz de dirigir um golpe para uma parte específica do corpo do oponente, e não pode disparar uma arma de projétil (a não ser aleatoriamente ou em
direção a um alvo próximo o suficiente para ser ouvido).
- Tudo isto supõe que o personagem já está acostumado à sua cegueira. Qualquer um que perca a visão subitamente lutará sempre com um redutor de -10 como se estivesse no escuro.
- Em países civilizados os cegos receberão um bônus de +1 em todos os testes de reação.</t>
  </si>
  <si>
    <t>DISOPIA GRAVE</t>
  </si>
  <si>
    <t xml:space="preserve">
- O personagem pode tanto ser míope, quanto hipermétrope, a escolha é sua. Se for míope, ele não será capaz de ler letras pequenas, etc., a uma distância maior do que 30 cm, ou placas de estrada, etc., a mais de 10 m.
- Estará sempre submetido a um redutor de -2 em testes de habilidade com armas de mão. No caso de estar usando armas de arremesso ou de projétil, use o modificador apropriado para dobrar a distância real do alvo.
- Se o personagem for hipermétrope, ele terá grandes dificuldades para ler um livro (triplique o tempo normal), e sua DX estará submetida a um redutor de -3 no caso de trabalhos manuais.
- Qualquer personagem vivendo em NT 5+ poderá adquirir óculos, capazes de corrigir completamente seus problemas com os olhos enquanto estiverem em uso.
- As lentes de contato estarão disponíveis a partir do século XX. Lembre-se que acidentes e pancadas na cabeça podem derrubar os óculos, que poderiam ser apanhados pelos oponentes, etc.
- Esta desvantagem vale apenas -10 pontos para qualquer personagem criado em uma cultura com NT elevado o suficiente para sanar problemas de visão, ou -25 para aqueles oriundos de uma época em que este tipo de anomalia não pode ser corrigido.</t>
  </si>
  <si>
    <t>DISOPIA LEVE</t>
  </si>
  <si>
    <t>DALTONISMO</t>
  </si>
  <si>
    <t xml:space="preserve">
- O personagem não é capaz de distinguir nenhuma cor (i.e. acromatopsia).
- No dia-a-dia, esta anomalia não é mais do que um transtorno.
- No entanto, em situações que exijam a identificação das cores (compra de pedras preciosas, identificação de um uniforme ou apertar o botão vermelho para dar a partida num motor), o Mestre deverá lhe impor as dificuldades adequadas ao caso.
- Certas perícias serão sempre mais difíceis para um daltônico.
- Ele estará submetido automaticamente a um redutor de -1 nos testes de Condução, Pilotagem, Química, Rastreamento e Comércio.</t>
  </si>
  <si>
    <t>DURO DE OUVIDO</t>
  </si>
  <si>
    <t xml:space="preserve">
- O personagem não é surdo, mas perdeu uma parte da audição.
- Ele estará submetido a um redutor de - 4 em todos os testes de Audição e nos de perícias com línguas (nas situações em que ele precisa entender o que alguém esta dizendo).
- Isso significa que as jogadas acima serão feitas contra IQ-4.
- Esta desvantagem não o afeta, quando é ele quem está falando.</t>
  </si>
  <si>
    <t>EPILEPSIA</t>
  </si>
  <si>
    <t xml:space="preserve">
- O personagem está sujeito a crises, durante as quais seus membros ficam imobilizados e ele é incapaz de falar ou pensar claramente. (Esta é uma doença grave.)
- Sempre que ele estiver numa situação de tensão (principalmente se sua vida, ou a de um companheiro, estiver em perigo), deverá fazer um teste de HT. 
- Uma falha causará a crise que terá 1d6 minutos de duração.
- É desnecessário dizer que o personagem não é capaz de fazer nada durante a crise, além de receber 1d6 pontos de Mana
-  Se o personagem tiver algum tipo de fobia, a exposição ao objeto de sua fobia se constitui automaticamente em uma situação de tensão.
- Faça um teste de HT a cada 10 minutos.
- É possível tentar induzir uma crise através da auto-hipnose. Isto exige um minuto e um sucesso em um teste de IQ. 
- Uma crise em uma região com um nível de alta intensidade de mana provocará visões as quais, dependendo da vontade do Mestre, poderão ser verdadeiras ou até mesmo proféticas.
- Por não entenderem sua causa, raças primitivas podem ser atemorizadas por uma crise e achar que se trata de uma mensagem dos deuses.
- Faça um teste de reação com um bônus de +1.
- Resultados muito bons significarão adoração enquanto resultados ruins farão com que os primitivo fujam — nunca que ataquem.</t>
  </si>
  <si>
    <t>EUNUCO</t>
  </si>
  <si>
    <t xml:space="preserve">
- O personagem (homens apenas) perdeu sua masculinidade através de um acidente ou de uma ação hostil.
- Ele estará imune à sedução e será incapaz de seduzir outros.
- Qualquer pessoa ciente de sua condição estará submetida a um redutor de -1 nos testes de reação.</t>
  </si>
  <si>
    <t>GIGANTISMO</t>
  </si>
  <si>
    <t>- O personagem é um gigante por questões genéticas, anormalmente grande para a sua espécie.
- Determine sua altura normalmente (pág. 15) e depois aumente-a em 20%.
- Se ele ainda tiver menos do que 2,10 m de altura (para os humanos), aumente-a para este mínimo.
- O tamanho mínimo para gigantes de outras raças é deixado a cargo do Mestre.
- O peso deve ser determinado em proporção à altura. 
- ST e HT não são afetadas.
- Ele estará submetido a um redutor de -2 em todos os testes de reação, com exceção das situações de combate iminente, onde ele receberá um bônus de +1 por parte de seus inimigos ou aliados.
- Ele deve ser considerado automaticamente como pelo menos 30 cm mais alto do que seus oponentes normais.
- Como os gigantes vivem em um mundo proporcionalmente menor, eles têm uma série de pequenos problemas como roupas, cadeiras, etc., que simplesmente não lhes servem.
- No entanto, esta não é uma desvantagem desastrosa.</t>
  </si>
  <si>
    <t>HEMOFILIA</t>
  </si>
  <si>
    <t xml:space="preserve">
- O personagem é um hemofílico. Um ferimento, por menor que seja, não cicatrizará, a menos que seja enfaixado, e o personagem sangrará até morrer.
- Qualquer ferimento não tratado sangrará numa taxa igual ao número de pontos de dano original por minuto.
- Exemplo: um ferimento que provoque a perda de 3 pontos de vida não tratado provocará a perda de outros 3 pontos de vida depois do primeiro minuto e assim por diante até ser estancado.
- Um hemofílico não pode ter uma HT básica maior do que 10.
- Primeiros Socorros serão satisfatórios para cuidar da maioria dos ferimentos.
- No entanto, qualquer ferimento perfurante no tronco provocará uma lenta hemorragia interna.
- Um ferimento deste tipo causará dano como explicado no parágrafo anterior, até ser tratado com Primeiros Socorros.
- Ele continuará a produzir um dano igual ao original uma vez por dia, até ser tratado convenientemente.
- Somente um Cirurgião ou um curandeiro mágico/psíquico será capaz de curar este tipo de ferimento ou restaurar a HT perdida devido à hemorragia interna.
- O personagem morrerá se não houver tratamento adequado à disposição.</t>
  </si>
  <si>
    <t>NANISMO</t>
  </si>
  <si>
    <t xml:space="preserve">
- O personagem é um anão por motivos genéticos, anormalmente baixo para a sua espécie.
- Determine sua altura normalmente (pág. 15), e depois reduza-a a 60%.
- Ele também não poderá ter uma Aparência Física igual à média e será considerado “atraente e charmoso” ou particularmente desagradável.
- Qualquer oponente que o ataque com uma arma de arremesso ou de projétil estará submetido a um redutor de -1 (ele é um alvo difícil).
- Em combate, ele estará sempre meio metro abaixo de qualquer adversário humano normal.
- Devido à sua estatura, certas coisas são impossíveis para um anão, outras muito mais fáceis. O Mestre deve usar a imaginação aqui.
- Nanismo é uma condição encontrada em todas as espécies. Um anão neste caso não é a mesma coisa que um membro da raça dos Anões (apesar de ser possível existir um Anão anão).
- A ST e HT de um anão são determinadas normalmente e muitos deles são fortes para o tamanho que têm.
- No entanto, seu atributo Deslocamento está submetido a um redutor de -1, e saltam como se sua ST fosse 4 pontos menor.</t>
  </si>
  <si>
    <t>OBESIDADE GRAVE</t>
  </si>
  <si>
    <t>- O personagem será extraordinariamente gordo para sua raça.
- Para uma obesidade equivalente a -10 pontos, determine seu peso normalmente a partir de sua Força (pág. 15) e depois aumente-o em 50%. Isto resultará em um redutor de -1 em todos os testes de reação e sua HT nunca poderá ser maior do que 15.
- Para o caso de -20 pontos, o peso deve ser determinado normalmente e depois dobrado. Isto resultará em um redutor de -2 em todos testes de reação e a HT nunca poderá ser maior do que 13.
- Em qualquer um dos casos, o peso extra contará como uma Carga (v. pág. 76) a mais, da qual ele não pode se livrar. (Exceção: A Carga devido à gordura não conta contra o personagem quando ele está nadando).
- Roupas e armaduras normais não servirão no personagem.
- Ele estará submetido a um redutor de -3 em testes de Disfarce e Sombra, se estiver ttentando seguir alguém numa multidão.
- Como regra, pessoas obesas têm pequenos problemas que o Mestre deveria interpretar criativamente.
- No entanto, existem algumas poucas vantagens. 
- Por exemplo, pessoas obesas recebem um bônus de +5 em seus testes de Natação e são muito difíceis de desalojar, se decidirem a prender alguém sentando-se em cima.
- Um personagem obeso recebe também um bônus de +2 quando dá (ou tenta resistir a) um Encontrão.</t>
  </si>
  <si>
    <t>OBESIDADE LEVE</t>
  </si>
  <si>
    <t>SURDEZ</t>
  </si>
  <si>
    <t xml:space="preserve">
- Você não é capaz de ouvir nada.
- Qualquer informação deve lhe ser transmitida através da escrita (se você for alfabetizado) ou linguagem de sinais.
- Estará também submetido a um redutor de -3 em seu atributo IQ quando estiver aprendendo qualquer língua que não seja a sua.
- No entanto, receberá um bônus de +3 em todos os testes de Mímica/Pantomima, Linguagem de Sinais (pág. 55) ou Leitura Labial (pág. 66).</t>
  </si>
  <si>
    <t>DISOSMIA / AGEUSIA</t>
  </si>
  <si>
    <t xml:space="preserve">
- Esta é uma doença rara... o personagem não é capaz de sentir nem o cheiro nem o sabor de nada.
-Será, portanto, incapaz de detectar certos perigos que as pessoas normais percebem rapidamente.
- No entanto, esta deficiência tem suas vantagens.
- Um personagem que a tenha nunca será afetado por gambás e sempre será capaz de comer qualquer coisa que lhe ponham na frente.</t>
  </si>
  <si>
    <t>EXCESSO DE PESO</t>
  </si>
  <si>
    <t xml:space="preserve">
- Você não chega a ser obeso — seu peso está um pouco acima da média de sua raça.
- Determine o peso normalmente a partir do atributo ST para depois aumentá-lo em 30%.
- Isto aumenta a Carga como no caso de Obesidade.
- Personagens com Excesso de Peso recebem um bônus de +2 em testes de Natação.
- Ser gordo significa um redutor de -1 em testes de reação feitos por membros de sociedades que têm consciência dos problemas que isto acarreta à saúde, e em áreas onde a disponibilidade de comida é limitada.
- Não existe nenhum outro bônus ou penalidade.
- O personagem consegue roupas com facilidade e é capaz de se misturar na multidão porque existe um bom número de pessoas gordas.</t>
  </si>
  <si>
    <t>GAGUEIRA</t>
  </si>
  <si>
    <t xml:space="preserve">
- O personagem sofre de gagueira ou outro problema de fala que o Mestre pode pedir para o jogador representar.
- Ele estará submetido a um redutor de -2 em todos os testes de reação onde for necessária uma conversa, e certas ocupações e perícias como Diplomacia, Lábia, Oratória, Atuação ou Noticiarista, são impossíveis.</t>
  </si>
  <si>
    <t>HIPERALGIA</t>
  </si>
  <si>
    <t xml:space="preserve">
- O personagem é muito sensível a dores de todos os tipos.
- Ele estará sempre submetido a um redutor de -4 ao tentar resistir à tortura.
- Sempre que ele receber um ferimento com mais de um ponto de dano, precisará conseguir um sucesso em um teste de Vontade para evitar chorar (possivelmente revelando sua presença).
- Soldados, bárbaros, assassinos, etc., reagirão ao personagem com um redutor de -1 se souberem que ele tem esta Desvantagem.</t>
  </si>
  <si>
    <t>MAGREZA</t>
  </si>
  <si>
    <t xml:space="preserve">
- O personagem é excessivamente magro.
- Depois de descobrir sua altura, verifique o peso “médio” para aquela altura (v. pág. 15) e diminua-o em 1/3.
- Ele nunca poderá ser Elegante ou Muito Elegante e seu atributo HT nunca poderá ser maior do que 14.
- Roupas e armaduras normais não lhe servirão, e seu atributo ST estará submetido a um redutor de -2 quando ele tentar dar (ou resistir a) um Encontrão.
- Haverá um redutor de -2 também, para testes de Disfarce e Sombra se ele estiver tentando seguir alguém no meio de uma multidão.</t>
  </si>
  <si>
    <t>MANETA (UM BRAÇO)</t>
  </si>
  <si>
    <t xml:space="preserve">
- O personagem perdeu um braço (ou nasceu sem ele).
- Assume-se que o braço perdido é o esquerdo se ele for destro e vice-versa.
- Ele não poderá usar uma espada e um escudo simultaneamente, ou qualquer arma ou coisa que exija o uso de duas mãos.
- A decisão do Mestre é definitiva em caso de discussão.
- Qualquer coisa que exija uma só mão poderá ser feita sem nenhuma penalidade.
- Nos casos limites é melhor deixar que o personagem tente realizar a ação submetido a um redutor de -4 em seu atributo DX ou tentar uma rápida verificação prática, se possível.</t>
  </si>
  <si>
    <t>MANETA (UMA MÃO)</t>
  </si>
  <si>
    <t xml:space="preserve">
- O personagem perdeu uma das mãos.
- Ela pode ser substituída por uma prótese apropriada (gancho, mão mecânica ou biônica).
- Uma substituição biônica (NT 8+) é tão boa quanto a original e por isso não dá direito a nenhum bônus.
- Uma prótese obviamente mecânica submeterá o personagem a um redutor de -1 em todos os testes de reação e seu atributo DX ficará “reduzido” em 2 pontos (para a mão mecânica) ou -4 (no caso de uma garra).
- No entanto, um gancho ou uma garra equivalem a uma faca que o personagem nunca deixará cair em situações de combate (use o NH com Facas ).
- Eles podem ser bastante intimidadores quando brandidos diante do oponente.</t>
  </si>
  <si>
    <t>MUDEZ</t>
  </si>
  <si>
    <t xml:space="preserve">
- O personagem não é capaz de falar.
- Toda a comunicação com outros (e a comunicação do jogador com os outros jogadores) deverá ser feita por escrito ou com linguagem de sinais.
- O Mestre e o jogador poderão ir a uma outra sala, se necessário, para falar sobre o que o personagem está fazendo.
- Um personagem Mudo recebe um bônus de +3 em todos os testes de Mímica/Pantomima ou Linguagem de Sinais (v. pág. 55).
- No entanto, não será exigido (nem permitido) nenhum teste quando ele tentar se comunicar com outros PCs que não conhecem sua linguagem de sinais; represente isto por sua própria conta!</t>
  </si>
  <si>
    <t>PERNA MUTILADA</t>
  </si>
  <si>
    <t xml:space="preserve">
- O personagem tem uma perna ruim.
- Seu Deslocamento fica reduzido em 3 pontos e ele estará submetido a um redutor de -3 em todos os testes de habilidade que exigem andar ou correr.
- Isto sem dúvida inclui todas as perícias com armas de mão e todas as artes marciais (as perícias com armas de projétil não são prejudicadas).</t>
  </si>
  <si>
    <t>PERNETA</t>
  </si>
  <si>
    <t xml:space="preserve">
- O personagem perdeu uma das pernas.
- Ele estará submetido a um redutor de -6 em todos os testes de habilidade que exigem o uso das pernas.
- O personagem é incapaz de correr e terá um Deslocamento igual a no máximo 2, usando muletas ou perna de pau.
- Se o personagem tiver acesso à cirurgia protética do NT 6 (século XX), ele poderá reduzir o efeito da perna aleijada, mas precisará recomprar a diferença em pontos de alguma forma.
- Civilizações de NT 8+ poderiam substituir a perna, possivelmente por uma melhor que a original, mas depois disto não haverá mais desvantagem.</t>
  </si>
  <si>
    <t>SEM PERNAS</t>
  </si>
  <si>
    <t xml:space="preserve">
- O personagem está confinado a uma cadeira de rodas ou a uma plataforma com rodas.
- Sua velocidade será 1/4 de seu atributo ST (arredondado para baixo) se ele a impulsionar com as próprias mãos.
- Ele poderá ser carregado na garupa ou transportado em uma maca.
- O Mestre deverá impor todas as penalidades razoáveis devidas a esta deficiência.
- Exemplos: Ele não será capaz de passar por portas estreitas, subir escadas ou calçadas com degraus, viajar (a não ser em veículos equipados especialmente), lutar efetivamente (a não ser usando revólveres e bestas), etc. Ele estará submetido a um redutor de -6 se precisar lutar com uma espada.</t>
  </si>
  <si>
    <t>ZAROLHO</t>
  </si>
  <si>
    <t xml:space="preserve">
- O personagem tem apenas um olho bom.
- Ele pode usar um olho de vidro ou cobrir a vista defeituosa com um tapa-olho.
- Seu atributo DX estará submetido a um redutor de -1 em situações de combate e/ou que envolvam a coordenação entre mãos e olhos, e -3 em situações que envolvam armas de projétil, arremesso de objetos ou a condução de qualquer veículo mais rápido que um cavalo ou uma charrete.
- Estará também submetido a um redutor de -1 em testes de reação, com exceção daqueles feitos por seres totalmente alienígenas. Exceção: Se você tiver Carisma, ou for Elegante ou Muito Elegante, o tapa-olho parecerá romântico e, neste caso, não afetará os testes de Reação.</t>
  </si>
  <si>
    <t>ALCOOLISMO</t>
  </si>
  <si>
    <t xml:space="preserve">
- O personagem é um viciado em álcool.
- Um alcoólatra pode, em circunstâncias normais, limitar o uso do álcool ao período noturno e, desta maneira, ser capaz de (pelo menos doponto de vista do jogo) agir normalmente.
- No entanto, toda vez que um alcoólatra se vir frente a frente com o álcool, ele deverá obter um sucesso em um teste de Vontade, para evitar participar.
- Uma falha significa que ele tomará um porre que durará 2d6 horas, seguido de uma ressaca durando o dobro, durante as quais todos os seus atributos e perícias estarão submetidos a um redutor de -3.
- Alcoólatras numa bebedeira caracterizam-se pela oscilação súbita de seu humor (da cordialidade àhostilidade extremas) e podem vir a atacar seus amigos, falar demais ou cometer outros erros do gênero.
- O outro inconveniente do alcoolismo é que é difícil se libertar dele.
- Quando um personagem alcoólatra se “regenerar”, ele não precisará mais ingerir álcool diariamente, mas terá que fazer um teste de Vontade, com um bônus de +4, sempre que estiver em presença de álcool.
- Uma falha não significa que ele voltará ao vício, mas indica uma bebedeira. (Três porres em uma semana trarão o vício de volta).
- Isto significa que não há nenhuma maneira normal de “recomprar” esta desvantagem.
- Um alcoólatra deve fazer todo ano um teste contra HT+2, até abandonar o vício.
- Uma falha significa que ele deve perder um ponto de um de seus quatro atributos básicos,  aleatoriamente.</t>
  </si>
  <si>
    <t>DISTRAÇÃO</t>
  </si>
  <si>
    <t xml:space="preserve">
- A desvantagem clássica dos gênios excêntricos.
- O personagem tem dificuldade em prestar atenção a qualquer coisa que não seja de interesse imediato.
- Um personagem distraído estará submetido a um redutor de -5 em qualquer teste de IQ, com exceção daqueles ligados ao trabalho no qual ele está concentrado no momento.
- Se não aparecer nenhum assunto ou tarefa que o atraia, sua atenção se desviará para assuntos mais interessantes em 5 minutos.
- Ele ignorará tudo o que está à sua volta, até que alguma coisa chame sua atenção e o traga de volta.
- Uma vez absorto em seus próprios pensamentos, um personagem Distraído precisa conseguir um sucesso em um teste contra IQ-5 para reparar em qualquer evento que não lhe cause dano físico.
- Um personagem distraído pode tentar concentrar sua atenção em um assunto maçante, usando toda sua força de vontade.
- Para consegui-lo, ele precisa de um sucesso em um teste de Vontade com um redutor de -5, a cada 5 minutos.
- Entre os “assuntos enfadonhos” incluem-se turno de guarda, conversa fiada, trabalhos manuais repetitivos, dirigir em uma estrada vazia, etc...
- As pessoas distraídas têm, também, uma tendência a se esquecer de objetos (como as chaves do carro e o talão de cheques) e tarefas triviais (como pagar contas).
- Sempre que a realização de uma destas tarefas tiver alguma relevância, o Mestre poderá exigir um teste contra IQ-2.</t>
  </si>
  <si>
    <t>VICIO</t>
  </si>
  <si>
    <t xml:space="preserve">
O personagem é viciado em alguma droga que ele precisa ingerir diariamente ou sofrer as penalidades de Regeneração (veja a seguir). O bônus para esta desvantagem depende do tipo de droga em que se está viciado:
- Se a dose diária custa $20 ou menos: -5 pontos.
- Se a dose diária custa de $21 a $100: -10 pontos.
- Se a dose diária custa mais de $100: -20 pontos.
- Se a droga for alucinógena ou incapacitante: -10 pontos.
- Se a droga for altamente viciadora (-5 em testes de Regeneração): -5 pontos.
- Se a droga for totalmente viciadora (-10 em testes de Regeneração): -10 pontos.
Efeitos das Drogas:
- Uma droga incapacitante deixará quem a usa inconsciente (ou alegre e inutilmente sonolento) por mais ou menos duas horas (quatro horas para personagens com ST menor do que 10, uma hora para aqueles com ST maior do que 15).
- Uma droga estimulante afetará quem a usa pelo mesmo período de tempo: o usuário acredita estar mais inteligente, mas na verdade seu IQ estará temporariamente diminuído de 1 ponto. No entanto, ele recebe +1 de bônus em sua Velocidade.
- Uma droga alucinógena torna seus usuários inúteis para o trabalho ou combate, apesar de eles poderem estar ativos e falantes. Algumas drogas (como o tabaco) não apresentam nenhum destes efeitos, enquanto que outras têm um efeito próprio. Também é possível a existência de efeitos colaterais.
- O Mestre tem toda a liberdade para pesquisar ou inventar efeitos colaterais para drogas reais ou imaginárias.
Regeneração:
- Algumas vezes, um viciado em drogas tenta, voluntariamente ou não, deixar o vício.
- Isto pode acontecer se ele estiver aprisionado, viajar para um lugar onde não existe a droga à disposição ou simplesmente porque ele não é capaz de sustentar o vício financeiramente.
- A Regeneração é um processo doloroso, que exige duas semanas (14 dias) de testes de HT bem sucedidos (o Mestre poderá mudar este tempo, conforme ele achar apropriado, para uma droga específica).
- Todo dia o viciado faz um teste de HT, + ou - Vontade.
- Cada sucesso o aproxima um dia do momento em que ele conseguirá se livrar do vício.
- Uma falha significa que o viciado deve ceder à ânsia (se a droga estiver disponível) e tomar uma dose.
- Se isto acontecer, ele deverá começar todo o processo novamente (se ele ainda estiver disposto a fazê-lo). Se a droga não estiver disponível, o viciado perderá um ponto de vida e poderá tentar continuar o processo de Regeneração, mas aquele dia não deverá ser contado como um dos 14 necessários para sua cura. 
- O HP perdida durante a Regeneração não pode ser recuperada (pelo menos por algum meio “normal”) até que ela seja concluída ou abandonada.
- Lembre-se que você deverá “recomprar” a desvantagem do Vício antes de começar o processo voluntariamente, ou imediatamente após a Regeneração forçada. Veja pág. 82.</t>
  </si>
  <si>
    <t>VICIO GRAVE</t>
  </si>
  <si>
    <t>VICIO LEVE</t>
  </si>
  <si>
    <t>VICIO MUITO GRAVE</t>
  </si>
  <si>
    <t>CODIGO DE HONRA LEVE</t>
  </si>
  <si>
    <t xml:space="preserve">
- O personagem tem orgulho de um conjunto de princípios que ele segue
todo o tempo.
- Em qualquer cultura existem aqueles que fingem respeitar, mas não têm nenhum, e outros que realmente tentam seguir um código mas não conseguem viver todo o tempo segundo seus princípios. Mas só alguém que realmente siga um código de honra pode receber os pontos relativos a esta desvantagem.
- Um Código de Honra é uma desvantagem porque ele exigirá, com frequência, um comportamento perigoso (se não imprudente).
- Além disso, uma pessoa honrada pode ser forçada a situações desfavoráveis, porque seus inimigos sabem que ela tem honra.
- Não é o mesmo que Dever ou Senso de Dever, que levariam um samurai ou um granadeiro inglês, por exemplo, a se lançarem em batalha contra inimigos terríveis por um questão de obrigação, e não por honra pessoal (embora seja evidente que eles ficariam desonrados, se fugissem).
- Os riscos que uma pessoa enfrenta por sua honra só dizem respeito a ela mesma.</t>
  </si>
  <si>
    <t>CODIGO DE HONRA MEDIO</t>
  </si>
  <si>
    <t>CODIGO DE HONRA PESADO</t>
  </si>
  <si>
    <t>FANFARRONICE</t>
  </si>
  <si>
    <t xml:space="preserve">
- Você gosta de intimidar as pessoas sempre que é possível fazê-lo impunemente.
- Dependendo de sua personalidade e de sua posição, isto pode tomar a forma de agressões físicas, hostilidade intelectual ou “gelo” social.
- Faça um teste de Vontade para tentar evitar uma bravata grosseira quando você sabe que não deveria, mas para representar seu personagem de maneira apropriada você precisa provocar a tantas pessoas, quantas puder.
- Como ninguém gosta de um fanfarrão, seus testes de reação estarão submetidos a um redutor de -2.</t>
  </si>
  <si>
    <t>FURIA</t>
  </si>
  <si>
    <t xml:space="preserve">
- Como o Mau Humor, só que pior.
- O personagem tende a perder o controle de si próprio quando submetido a alguma tensão, passando a atacar freneticamente quem ou o que quer que creia ser a causa de seu problema. (Não se pode assumir as duas desvantagens, Fúria e Mau Humor.)
- Sempre que ele for atingido por mais de 3 vezes numa rodada, deverá fazer um teste de Vontade.
- Uma falha significa que ele ficou enfurecido.
- Outras situações de extrema tensão (opção do Mestre) podem, também, requerer este tipo de teste, para evitar o enfurecimento.
- Um personagem com esta desvantagem pode se enfurecer deliberadamente, fazendo uma manobra de “Concentração”, e obtendo sucesso num teste de Vontade.
- Enquanto ele estiver enfurecido, deverá fazer um Ataque Total sempre que um oponente estiver ao alcance, ou então uma manobra de Deslocamento para aproximar-se ao máximo de um oponente, quando não houver nenhum por perto.
- No caso do inimigo estar a mais de 20 m de distância, o “enfurecido” pode atacar com armas de longo alcance, sem gastar tempo para mirar o alvo.
- Fúria Tecnológica: Se um atirador experiente ficar enfurecido, ele vai disparar tantos tiros quantos puder em cada turno, até descarregar sua arma. Ele não irá recarregá-la, a menos que tenha as perícias Sacar Rápido e Rapidez de Recarga, que lhe permitirão fazê-lo “sem pensar”. Quando
sua arma estiver descarregada, ele atacará com as próprias mãos ou com outra arma, e nunca perderá tempo fazendo pontaria.
- Enquanto estiver enfurecido, ele não sofrerá atordoamento e os ferimento não acarretarão penalidades ao seu Deslocamento nem às jogadas de ataque.
- Todo os testes para mantê-lo vivo ou consciente são feitos contra HT+4. Se ele for bem sucedido em todos, permanecerá vivo e atacando desvairadamente até que sua HT fique reduzida a (-5xHT). Então, ele cairá morto!
- Quando um personagem enfurecido derrota seu oponente, ele pode (se o jogador quiser) fazer um teste de Vontade, para sair do estado de Fúria.
- Se ele falhar (ou não fizer a jogada), continuará enfurecido e atacará o próximo oponente.
- Qualquer amigo que tente pará-lo será encarado como um inimigo! 
- O “furioso” faz um teste de Vontade para cada adversário derrotado, e uma jogada extra ao vencer o último oponente. Se falhar, significa que passará a atacar os amigos...
- Ao sair do estado de Fúria, todos os ferimentos sofridos irão afetá-lo imediatamente.
- Faça um teste de HT, para saber se ele continuará vivo e consciente.</t>
  </si>
  <si>
    <t>MAU HUMOR</t>
  </si>
  <si>
    <t xml:space="preserve">
- O personagem não tem um controle total de suas emoções.
- Ele deverá fazer um teste de Vontade em qualquer situação de tensão.
- Uma falha significa que ele perdeu a paciência e deve insultar, atacar ou agir de alguma maneira contra a causa de sua explosão.</t>
  </si>
  <si>
    <t>SANGUINOLÊNCIA</t>
  </si>
  <si>
    <t xml:space="preserve">
- O personagem deseja ver seus oponentes mortos.
- Em uma batalha ele preferirá os golpes mortais, dará um tiro a mais para ter certeza de ter matado um oponente vencido, atacará guardas quando isto poderia ser evitado, etc.
- Ele precisará ser bem sucedido em um teste de Vontade para aceitar a rendição de um inimigo ou mesmo fazer um prisioneiro quando isto lhe for ordenado.
-Ele nunca esquecerá que um inimigo é um inimigo, mesmo que não estejam em um combate.
- Esta pode ser uma característica realmente maligna, mas a maioria dos heróis ficcionais sofre dela.
- O personagem não é fanático nem sádico; sua animosidade se limita aos inimigos “legítimos”, sejam eles criminosos, soldados inimigos, membros de uma família tradicionalmente inimiga ou um bêbado em uma taverna.
- Frequentemente, ele tem uma boa razão para se sentir desta maneira e numa briga comum em uma taverna ele usará os punhos como todo mundo. Por outro lado, um gladiador ou duelista com esta desvantagem seria extremamente impopular. Um guarda logo estaria enrascado.</t>
  </si>
  <si>
    <t>COMPULSÃO</t>
  </si>
  <si>
    <t xml:space="preserve">
- Você tem algum hábito (geralmente, mas nem sempre, um vício) que se sente compelido a praticar diariamente.
- Você gasta uma boa parte de seu tempo satisfazendo esta tendência.
- Entre os exemplos de Compulsão incluem-se o jogo, atração por uma outra pessoa, discutir (ou mesmo brigar).
- Em geral, é exigido um teste de Vontade no caso do jogador querer evitar sua compulsão numa determinada situação (ou num dia específico). Note que tentar evitar a compulsão com frequência significa má atuação.
- O valor da desvantagem, em pontos, depende de qual o hábito, o seu custo e em quanta confusão ela colocará o PC.
- O Mestre tem a palavra final.</t>
  </si>
  <si>
    <t>COMPULSÃO LEVE</t>
  </si>
  <si>
    <t>COMPULSÃO PESADA</t>
  </si>
  <si>
    <t>COVARDIA</t>
  </si>
  <si>
    <t xml:space="preserve">
- O personagem é extremamente cuidadoso com relação ao seu bem estar físico.
- Toda vez que surgir a necessidade de se arriscar fisicamente,ele deverá fazer um teste de Vontade.
- Se houver risco de vida, a jogada será feita com um redutor de -5.
- Se o resultado for um fracasso, ele deverá se recusar a se arriscar, a menos que seja ameaçado com um perigo maior. Testes de reação de soldados, policiais, etc., estarão submetidos a um redutor de -2, a partir do momento em que eles tomarem conhecimento de sua covardia</t>
  </si>
  <si>
    <t>FANTASIA</t>
  </si>
  <si>
    <t xml:space="preserve">
- O personagem acredita em alguma coisa (ou em várias) que simplesmente não é (são) de verdade.
- Isto pode levar os outros a pensarem que ele é maluco.
- Eles podem ter razão. Se o personagem tiver uma fantasia, o jogador deverá atuar segundo sua crença todo o tempo.
- Este tipo de ilusão afeta significativamente o comportamento do personagem, mas não impede que ele leve uma vida quase normal.
</t>
  </si>
  <si>
    <t>FANTASIA GRAVE</t>
  </si>
  <si>
    <t xml:space="preserve">
- O personagem acredita em alguma coisa (ou em várias) que simplesmente não é (são) de verdade.
- Isto pode levar os outros a pensarem que ele é maluco.
- Eles podem ter razão. Se o personagem tiver uma fantasia, o jogador deverá atuar segundo sua crença todo o tempo.
- Esta ilusão afeta tão intensamente o comportamento do personagem, que pode chegar a impedir que ele viva no mundo cotidiano.
</t>
  </si>
  <si>
    <t>FANTASIA LEVE</t>
  </si>
  <si>
    <t xml:space="preserve">
- O personagem acredita em alguma coisa (ou em várias) que simplesmente não é (são) de verdade.
- Isto pode levar os outros a pensarem que ele é maluco.
- Eles podem ter razão. Se o personagem tiver uma fantasia, o jogador deverá atuar segundo sua crença todo o tempo.
- Este tipo de ilusão afeta o comportamento do personagem e existe chance dela ser percebida rapidamente por qualquer um, apesar de ela não impedir que ele aja com certa normalidade.
</t>
  </si>
  <si>
    <t>INVEJA</t>
  </si>
  <si>
    <t xml:space="preserve">
- O personagem terá, automaticamente, uma reação ruim frente a qualquer um que pareça mais inteligente, mais atraente ou em melhor situação do que ele.
-Pode também se opor a qualquer plano proposto por um “rival”, e odiará se alguma outra pessoa estiver em evidência. (Esta desvantagem combina bem com Megalomania).
- Se um NPC for invejoso, o Mestre deverá subtrair de 2 a 4 pontos de suas reações junto às vítimas de sua inveja.</t>
  </si>
  <si>
    <t>MENTIR COMPULSIVAMENTE</t>
  </si>
  <si>
    <t>- O personagem mente constantemente, por nenhuma outra razão que não seja a alegria de mentir.
- Um mentiroso compulsivo se delicia inventando histórias sobre suas façanhas, linhagem, riqueza — qualquer coisa que possa impressionar sua audiência.
- Mesmo quando desmascarado, ele se apega tenazmente a suas histórias, chamando seu denunciador de mentiroso e salafrário.
-Para ser capaz de dizer a verdade pura e simples, um mentiroso compulsivo precisa conseguir um sucesso em um teste contra Vontade-4.
- Um Mestre caridoso poderia deixar um mentiroso contar uma versão ligeiramente distorcida da verdade, se ele falhar por pouco em sua jogada.
- Quando um PC mentiroso faz uma jogada para dizer a verdade para os membros de seu grupo, ele deverá fazê-la de modo que os jogadores não vejam o resultado.
- Desta maneira eles nunca terão certeza se estão recebendo uma informação acurada de seu companheiro.</t>
  </si>
  <si>
    <t>PARALISIA FRENTE A COMBATE</t>
  </si>
  <si>
    <t xml:space="preserve">
- Este é a situação oposta a Reflexos em Combate; o personagem tende a ficar paralisado quando se vê em um combate.
- Não é Covardia, você não deve representar medo. Pelo contrário, deve ser corajoso, mas é atraiçoado pelo corpo.
-Em qualquer situação onde uma lesão física parecer iminente, o personagem deverá fazer um teste de HT (não IQ).
- Qualquer resultado maior do que 13 é um fracasso, mesmo que o personagem tenha uma HT alta.
- A jogada não deve ser feita até o momento em que ele tem que lutar, correr, puxar o gatilho e assim por diante.
- Um sucesso significa que ele pode agir normalmente.
- Uma falha significa que ele está mentalmente atordoado (v. pág 122). O personagem deve fazer um teste de sua HT efetiva, com um bônus cumulativo igual a +1 em cada turno, a fim de sair do torpor.
- Um tapa de um companheiro adicionará 1 ponto ao valor acumulado de sua HT.
- Depois de sair do estado de torpor, ele não acontecerá de novo enquanto durar o perigo.
- Mais tarde, ao se deparar com uma nova situação de perigo, ele poderá se repetir.</t>
  </si>
  <si>
    <t>ANALFABETISMO</t>
  </si>
  <si>
    <t xml:space="preserve">
- Esta é a condição normal em uma cultura de baixo NT e neste caso não oferece nenhum bônus.
- Em culturas com NT 5+, onde a imprensa é comum, ela será uma desvantagem. Veja pág. 17.</t>
  </si>
  <si>
    <t>COBIÇA</t>
  </si>
  <si>
    <t xml:space="preserve">
- Você tem paixão por dinheiro.
-Toda vez que algum patrimônio for oferecido como pagamento por um trabalho lícito, proventos de uma aventura, pilhagem ou apenas isca, você terá que conseguir um sucesso em um teste de Vontade para resistir à tentação.
- O Mestre pode modificar esta jogada se a soma envolvida for pequena em comparação com seus bens.
- Pequenas quantias não tentarão (muito) um personagem rico.
- Já um personagem pobre terá que fazer a jogada com um redutor de -5 ou até mais, se houver um rico prêmio à vista. Personagens honestos (veja a seguir) fazem jogadas com um bônus de +5 para resistir a um negócio escuso, e +10 para resistir a um crime inequívoco.
- No entanto, praticamente todos os personagens irão, mais cedo ou mais tarde, fazer alguma coisa ilegal.</t>
  </si>
  <si>
    <t>CREDULIDADE</t>
  </si>
  <si>
    <t xml:space="preserve">
- Nasce um crédulo por minuto e o seu personagem é um deles.
- Uma pessoa crédula acredita em tudo o que ouvir. Ela engolirá a história mais absurda, se ela for contada com convicção.
- Para não acreditar em uma mentira ou em uma verdade improvável, ele deverá ser bem sucedido em um teste de IQ modificado segundo a plausibilidade da história.
- Uma mentira bem contada, ou que envolva algum aspecto com o qual o personagem não tenha familiaridade (“Meu pai é o chefe de polícia desta cidade e ele não irá tolerar isto.”), exige um redutor de -6.
- Uma mentira envolvendo um tópico com o qual o crédulo está familiarizado (“Você não sabia que eles criam patos em sua vila, Torg?”) pede um redutor de -3 e, mesmo uma história totalmente bizarra (“É claro que os esquimós descendem dos conquistadores espanhóis, todo mundo sabe disso”) será engolida, se a vítima falhar em seu teste de IQ.
- Além disso, um personagem crédulo está submetido a um redutor de -3 em qualquer teste de Comércio, ou em qualquer situação onde sua Credulidade possa ser explorada.
- Um crédulo nunca será capaz de aprender a perícia Detecção de Mentiras.</t>
  </si>
  <si>
    <t>DISLEXIA GRAVE</t>
  </si>
  <si>
    <t xml:space="preserve">
- Você tem uma deficiência grave. (Formas mais amenas de dislexia que não incapacitam são comuns, mas pouco significativas em termos de jogo, a não ser, talvez, como uma peculiaridades.)
- Você é incapaz de aprender a er ou escrever; até mesmo mapas simples e placas de estrada estão além de sua compreensão.
- Você é capaz de estudar qualquer perícia na velocidade normal se tiver um professor.
- Se você tentar estudar uma perícia mental sem um professor, sua velocidade será apenas 1/4 da normal e isto, se a perícia puder ser aprendida através de auto-estudo sem livros (o Mestre pode variar isto conforme as circunstâncias).
- Você é, também, incapaz de aprender magia (pois não é capaz de manejar o simbolismo necessário) embora seja capaz de usar objetos encantados.
- O valor desta desvantagem depende do tipo de cultura na qual o personagem foi criado.
- Primitiva ou medieval (NT menor ou igual a 4):-5 pontos. A maioria das pessoas também não sabe ler.
- Pós-imprensa (NT 5+):-15 pontos. 
- Esta falha lhe trará problemas no dia-a-dia.
- Você será automaticamente analfabeto, mas não receberá pontos por isso.</t>
  </si>
  <si>
    <t>DISLEXIA LEVE</t>
  </si>
  <si>
    <t>FANATISMO</t>
  </si>
  <si>
    <t xml:space="preserve">
- Você crê intensamente em um país, religião, etc., e isto é mais importante do que qualquer outra coisa.
- Pode ser que você não morra por ela (depende de sua coragem pessoal), mas certamente a colocará à frente de todo o resto.
- Se seu país/religião/sei-lá-o-quê exigir obediência a um determinado código de comportamento, você o seguirá rigidamente.
- Se ele exigir a obediência a um líder, você o seguirá com toda a lealdade.
- Você precisa representar seu fanatismo.
- Note que fanáticos não precisam ser necessariamente insensatos ou perversos.
- O objeto de seu fanatismo é que faz a diferença.</t>
  </si>
  <si>
    <t>GULA</t>
  </si>
  <si>
    <t xml:space="preserve">
- Você gosta demais de boa comida e bebida. Se tiver chance, você sempre se sobrecarregará com provisões extras e não deverá nunca perder uma refeição por vontade própria.
- Você precisa de um sucesso em um teste de Vontade para resistir a uma iguaria tentadora ou a um bom vinho, se por alguma razão precisar fazê-lo.
- A Gula não é uma fraqueza terrível, mas sua natureza ficará logo óbvia para todos que o conhecerem.</t>
  </si>
  <si>
    <t>HONESTIDADE</t>
  </si>
  <si>
    <t xml:space="preserve">
 O personagem DEVE obedecer a lei sempre e dar o melhor de si para que os outros também o façam. Ele será compulsivo com relação à lei. Em sua essência, é um outro tipo de Código de Honra (veja pág. 31).
- Numa região onde exista pouca ou nenhuma lei, ele não ficará fora de si, mas agirá como se as leis de seu lugar de origem estivessem em vigor.
- Isto é uma desvantagem, porque frequentemente limitará suas opções.
- Ele deverá fazer um teste de IQ sempre que se defrontar com leis irracionais, para ver se há necessidade de violá-las, e conseguir um sucesso em um teste de Vontade para não se entregar depois.
- Se em algum momento seu personagem agir desonestamente, o Mestre poderá penalizá-lo por má atuação.
- O personagem pode brigar (ou mesmo começar uma briga, se ele o fizer dentro da lei). Ele pode até matar num duelo legal ou em defesa própria, mas nunca poderá assassinar. Ele poderá roubar se houver uma necessidade muito grande, mas apenas como último recurso, e deverá tentar reembolsar as vítimas mais tarde. - Se for preso por um crime que não cometeu, mas tratado de maneira justa e receber a promessa de um julgamento, o personagem não tentará escapar.
- Ele sempre manterá a palavra. (Numa guerra ele poderá agir “desonestamente” contra o inimigo, mas não se sentirá bem com isto).
- O personagem assumirá também que os outros são honestos até saber o contrário (faça um teste de IQ para ver se percebe que uma determinada pessoa pode estar sendo desonesta, se não tiver visto uma prova).
- Naturalmente, a Honestidade traz suas recompensas. Se o personagem conseguir sobreviver e num só lugar por tempo suficiente, ele acabará conhecido por sua honestidade.
- O Mestre poderia lhe conceder um bônus de +1, para ser usado em todos os testes de reação que não envolvam possibilidade de combate, ou +3 em questões que envolvam a verdade ou a honra.
- Este bônus é, em sua essência, um bônus de “reputação” grátis.
- O personagem pode mentir se isto não significar violar a lei.
- A Veracidade (pág. 37) é uma desvantagem distinta.</t>
  </si>
  <si>
    <t>IMPULSIVIDADE</t>
  </si>
  <si>
    <t xml:space="preserve">
- O personagem odeia falar e pensar. Ele prefere a ação.
- Quando estiver só, ele agirá primeiro e pensará depois.
- Em um grupo, quando seus companheiros quiserem parar e discutir uma situação, ele dará sua opinião rapidamente, se o fizer, e depois partirá para a ação.
- Represente esta característica.
- O personagem deverá conseguir um sucesso em um teste de Vontade para ser capaz de esperar e ponderar, se isto for absolutamente necessário.</t>
  </si>
  <si>
    <t>AVAREZA</t>
  </si>
  <si>
    <t xml:space="preserve">
- Semelhante à Cobiça (pág. 33) exceto que o personagem está muito mais interessado naquilo que ele já tem.
- Um personagem pode ser ambicioso e avarento.
- Ele deverá conseguir um sucesso em um teste de Vontade, toda vez que tiver que gastar algum dinheiro, e deverá procurar sempre o melhor preço.
- Se a despesa for grande, o teste de Vontade deverá estar submetido a um redutor de -5 (ou até maior).
- Uma falha significa que ele se recusará a gastar o dinheiro ou, se houver necessidade absoluta da transação, o personagem deverá regatear e reclamar interminavelmente.</t>
  </si>
  <si>
    <t>CLEPTOMANIA</t>
  </si>
  <si>
    <t xml:space="preserve">
- O personagem se sente compelido a roubar, não necessariamente coisas de valor, mas qualquer coisa que ele possa levar.
- Sempre que tiver uma chance de roubar, o personagem deverá fazer um teste de Vontade com um redutor que pode ir até -3, se o objeto tiver um interesse especial para ele (não necessariamente valor, a menos que ele seja pobre ou ambicioso, mas simplesmente “interesse”).
- Se o resultado for uma falha, o personagem deverá tentar furtar o objeto.
- As coisas roubadas deverão ser mantidas ou vendidas — nunca devolvidas ou abandonadas.</t>
  </si>
  <si>
    <t>EXCESSO DE CONFIANÇA</t>
  </si>
  <si>
    <t xml:space="preserve">
- Você acha que é mais poderoso, inteligente e/ou competente do que realmente é, e deverá se comportar desta maneira.
- Toda vez que (na opinião do Mestre) você demonstrar um grau de cautela exagerado, deverá fazer um teste de IQ.
- Uma falha significará que você não pode ser cauteloso e deve ir em frente como se fosse capaz de dominar a situação.
- Um personagem com excesso de confiança receberá um bônus de +2 em testes de reação de pessoas jovens ou ingênuas (elas acreditam que ele é tão bom quanto diz ser), e um redutor de -2 de NPCs experientes.
- Esta desvantagem funciona como a Megalomania, só que numa escala reduzida. Robin Hood tinha Excesso de Confiança — ele desafiava estranhos para duelar. Hitler era Megalomaníaco — ele invadiu a Rússia.
- Os heróis normalmente não são megalomaníacos e sim excessivamente auto-confiantes.
- Esta característica exige uma boa atuação.
- Um personagem com excesso de confiança pode ser orgulhoso e jactancioso, ou apenas calmamente determinado. Represente-a!</t>
  </si>
  <si>
    <t>INTOLERÂNCIA</t>
  </si>
  <si>
    <t xml:space="preserve">
- Você não gosta e não confia em pessoas que são diferentes de você.
- Um personagem completamente intolerante (-10 pontos) terá um redutor de -3 em seus testes de reação frente a qualquer pessoa que não pertença à sua raça e/ou classe.
- No caso de uma reação “boa” ele tolerará a pessoa e será tão cortês quanto possível (apesar de frio e reservado).
-No caso de uma reação “neutra” ele ainda tolerará a pessoa, mas deixará claro em palavras e atitudes que ele não faz a mínima questão de vê-la por perto e a considera inferior e/ou repugnante.
- Se a reação for pior, o personagem poderá atacar ou se recusar a se associar com a vítima.
- Uma intolerância dirigida contra uma raça ou classe específica vale desde -5 pontos, quando uma vítima puder ser encontrada com frequência, até -1 (nada mais que uma peculiaridade desagradável), se as vítimas forem raras.
- Os membros de um grupo hostilizado sentirão a intolerância e normalmente reagirão com um redutor de -1 a -5 em relação à pessoa intolerante.
- A Intolerância pode se manifestar também de outras maneiras.
- A Intolerância religiosa pode tomar a forma de um redutor de -3 em testes de reação frente a membros de uma seita em particular (-5 pontos) ou a qualquer um que não pertença à sua própria seita (-10 pontos).
- No caso de uma reação neutra ou melhor, uma pessoa intolerante tentará converter os incréus à sua própria fé.</t>
  </si>
  <si>
    <t>INTOLERÂNCIA LEVE</t>
  </si>
  <si>
    <t>LUXÚRIA</t>
  </si>
  <si>
    <t xml:space="preserve">
- O personagem sofre de um desejo incontrolável por romance.
- Em qualquer contato com um membro atraente do sexo oposto, o personagem deverá fazer um teste de Vontade (com um redutor de -5 se a outra pessoa for bonita ou -10 se for muito bonita).
- Uma falha significa que ele deverá tentar uma “cantada”, usando todos os artifícios e perícias de que for capaz.
- Deverá também sofrer as consequências de seus atos, bem sucedidos ou não... punição física, cadeia, doença transmissível ou (possivelmente) alguém apaixonado.
- A menos que o objeto de sua afeição seja Muito Elegante ou Bonito, o personagem precisará apenas de um sucesso por dia em um teste de Vontade para evitar a tentativa de “aproximação”.
- Se um outro personagem o rejeitar com firmeza (ex. um olho preto, ou denúncia por abuso sexual), o Mestre poderá permitir um bônus nas jogadas seguintes.
- Lembre-se, também, que uma pessoa lasciva pode mudar seus padrões de beleza, se nenhum membro realmente atraente do sexo oposto estiver disponível.</t>
  </si>
  <si>
    <t>MEGALOMANIA</t>
  </si>
  <si>
    <t xml:space="preserve">
- Você acredita que é o super-homem, ou que foi o escolhido para uma grande tarefa, ou que seu destino é conquistar.
- Comece por adotar a desvantagem do Fanatismo, sendo que você é fanático por si próprio!
- Você deve escolher algum objetivo muito grande — normalmente conquistar ou terminar uma tarefa fantástica, e jamais permitirá que algo se interponha entre você e seu objetivo.
- Você poderá atrair seguidores que também serão Fanáticos; mas ninguém além deles gostará de ouvi-lo falar sobre seu talento e planos maravilhosos.
- Personagens jovens ou ingênuos e Fanáticos à procura de uma nova causa terão suas reaçõesmelhoradas com um bônus de +2.
-As reações de outras pessoas estarão submetidas a um redutor de -2.
- Esta é uma desvantagem muito mais adequada a NPCs do que a personagens de jogador.</t>
  </si>
  <si>
    <t>PREGUIÇA</t>
  </si>
  <si>
    <t xml:space="preserve">
- O personagem tem uma aversão muito grande pelo trabalho físico.
- Suas chances de conseguir um aumento ou promoção em qualqueremprego são reduzidas à metade.
- Se ele trabalhar por conta própria, sua renda mensal cairá para a metade.
- O personagem deve tentar evitar o trabalho, principalmente trabalho duro, a qualquer custo. Represente!</t>
  </si>
  <si>
    <t>FOBIA GRAVE</t>
  </si>
  <si>
    <t xml:space="preserve">
- Uma “fobia” é um medo de um objeto, criatura ou circunstância específicos. Alguns medos são razoáveis, mas uma fobia é um medo mórbido, irracional e ilógico.
- Quanto mais comum for o objeto ou situação, maior será o valor em pontos da fobia. O medo do escuro vale muito mais do que o medo de encanadores canhotos. As fobias podem ser suaves ou graves. A versão grave vale o dobro.
- Se você sofre de uma fobia suave, será capaz de controlá-la através de sucessos em testes de Vontade. Este tipo de jogada é também chamado de “Verificação de Pânico” (v. pág. 93). Exemplo: Se você sofrer de acrofobia (medo de altura), até poderá subir ao telhado de um edifício alto, se conseguir
antes um sucesso em um teste de Vontade. No entanto, o medo persiste. No caso de conseguir controlar uma fobia suave, você estará submetido a um redutor de -2 em seus atributos IQ e DX enquanto a causa do medo persistir, e deverá fazer uma jogada a cada 10 minutos para ver se o medo não o dominou. Se isto tiver acontecido (i.e., você tiver falhado em sua Verificação de Pânico), sua reação deverá ser escolhida dentre as descritas na tabela existente na pág. 94.
- Se seu caso de fobia for grave (valendo o dobro dos pontos), você estará morto de medo. Em circunstâncias normais você deve simplesmente se recusar ao contato com o objeto de seu medo. Se for forçado a este contato, você deverá fazer uma Verificação de Pânico com um redutor de -4. Enquanto a causa de seu medo persistir, seus atributos DX e IQ estarão submetidos a um redutor de -3 ; novamente fazendo jogadas de teste a cada 10 minutos.
- Se uma vítima de fobia for ameaçada com o objeto temido, ela deverá fazer imediatamente uma Verificação de Pânico com um bônus de +4 (independente do fato de a fobia ser suave ou grave). Se os inimigos realmente lhe infligirem o objeto do medo, ele deverá fazer a Verificação de Pânico normal
(como descrito acima). No caso de uma falha na jogada, a vítima sucumbe mas não necessariamente fala. Veja a perícia Interrogatório. Algumas pessoas podem entrar em pânico e sucumbir, mas continuar se recusando a falar da mesma maneira que algumas pessoas não falam sob tortura.
- Uma situação fóbica é, por definição, carregada de tensão. Qualquer pessoa propensa a mudanças de personalidades, enfurecimento, etc., tem grande chance de sofrer estas reações quando encontra alguma coisa da qual tem medo e falha em sua Verificação de Pânico.</t>
  </si>
  <si>
    <t>FOBIA LEVE</t>
  </si>
  <si>
    <t>FOBIA MÉDIA</t>
  </si>
  <si>
    <t>PACIFISMO (AUTO-DEFESA)</t>
  </si>
  <si>
    <t xml:space="preserve">
- Apenas significa que o personagem lutará somente para defender a si mesmo ou àqueles de quem ele gosta, usando apenas a força necessária (nenhum golpe preventivo deve ser permitido).
- O personagem deve dar o melhor de si para desencorajar os outros de começar uma briga.</t>
  </si>
  <si>
    <t>PACIFISMO (INCAPAZ DE MATAR)</t>
  </si>
  <si>
    <t xml:space="preserve">
- Significa que o personagem pode lutar livremente e até mesmo começar uma briga, mas nunca deverá fazer algo que possa provocar a morte de outra pessoa. Isto inclui abandonar um inimigo ferido para morrer “por sua própria conta”.
- Ele deverá, também, fazer todo o possível para evitar que seus companheiros matem.
- O personagem será vítima de um colapso nervoso se matar alguém (ou se sentir-se responsável por uma morte).
- Jogue 3d6 e mostre-se completamente casmurro e inútil (represente!) durante um número de dias igual ao resultado dos dados.
- Durante este período, o personagem precisará de um sucesso em um de teste de Vontade para tentar qualquer tipo de violência contra qualquer pessoa por qualquer motivo.</t>
  </si>
  <si>
    <t>PACIFISMO (NÃO-VIOLÊNCIA TOTAL)</t>
  </si>
  <si>
    <t xml:space="preserve">
- Significa exatamente isto.
- Você não levantará a mão contra outra criatura inteligente, por razão nenhuma e deve dar o melhor de sua não-violência para desencorajar o comportamento violento dos outros.
- Você pode se defender contra o ataque de alimais, mosquitos, etc.</t>
  </si>
  <si>
    <t>PARANÓIA</t>
  </si>
  <si>
    <t xml:space="preserve">
- Você perdeu o contato com a realidade.
- Especificamente, você acredita que alguém está planejando alguma coisa contra sua pessoa, e nunca confiará em ninguém exceto seus velhos amigos — assim mesmo, sem perdê-los de vista.
- Os outros personagens, compreensivelmente, terão suas reações sub- metidas a um redutor de -2.
- A reação de um NPC paranóico a qualquer pessoa estranha estará sempre submetida a um redutor de -4 e qualquer penalidade “legítima” à reação (ex.: raça ou nacionalidade inamistosa) será dobrada.
- Esta desvantagem casa muito bem com Fantasias que, é claro, tem seu próprio valor como Desvantagem.</t>
  </si>
  <si>
    <t>PIROMANIA</t>
  </si>
  <si>
    <t xml:space="preserve">
- Você ama o fogo e gosta de acendê-lo.
- Para uma boa atuação, você não deveria perder nenhuma oportunidade de começar um incêndio ou apreciar um, quando encontrar.
- Faça um teste de Vontade quando for absolutamente necessário reprimir seu amor pelas chamas.</t>
  </si>
  <si>
    <t>SADISMO</t>
  </si>
  <si>
    <t xml:space="preserve">
- Você se delicia com a crueldade... física, mental, ou ambas. (Esta é uma característica particularmente “maligna”, mais adequada para vilões NPCs do que para personagens heróicos.)
-O Mestre pode proibir tterminantemente esta desvantagem (ou qualquer outra vantagem ou desvantagem), se ele não desejar que ninguém a represente em sua campanha.
- A reação das pessoas a um sádico conhecido está sempre submetida a um redutor de -3, a menos que elas venham de uma cultura que tenha pouca estima pela vida.
- Quando um sádico tem uma oportunidade de satisfazer seus desejos, mas sabe que não deveria (ex.: porque um prisioneiro deve ser libertado ileso) ele deverá obter um sucesso em um teste de Vontade, a fim de se controlar.
- Note que é possível, apesar de indigno, ser valentão e sádico.</t>
  </si>
  <si>
    <t>AZAR</t>
  </si>
  <si>
    <t xml:space="preserve">
- O personagem é simplesmente um azarado. 
- Tudo dá errado para ele e, normalmente, na pior hora possível.
- O Mestre irá, arbitrária e maliciosamente, fazer alguma coisa sair errada para você uma vez em cada sessão de jogo.
- Você fracassará numa jogada de importância vital, ou o inimigo irá aparecer (contra todas as chances do mundo) na pior hora.
- Se o enredo da aventura necessitar que alguma coisa de ruim aconteç a alguém, você será o escolhido.
- O Mestre não pode matar de imediato um personagem com “má sorte”, mas qualquer coisa menos que isso está ótimo.</t>
  </si>
  <si>
    <t>DUPLA PERSONALIDADE</t>
  </si>
  <si>
    <t xml:space="preserve">
- Você tem duas ou mais personalidades, cada uma das quais pode ter seu próprio conjunto de problemas mentais ou padrão de comportamento.
- Isto permite que você tenha Desvantagens Mentais que seriam incompatíveis de outra maneira (ex.: Pacifismo e Fúria, ou Paranóia e Luxúria).
- Cada personalidade deveria ter sua própria ficha.
 - Os atributos básicos podem variar um pouco (ST, DX e HT sendo artificalmente diminuídos por personalidades que “acreditam” ser fracas, desajeitadas ou doentes).
- IQ e Perícias podem ser diferentes e os traços da personalidade podem ser completamente diferentes.
- Em qualquer situação de tensão, O GM fará um teste de IQ. Neste caso, uma falha significará uma mudança para uma outra personalidade.
- Não se exige mais do que um teste/hora (tempo de jogo).
-Qualquer NPC que esteja ciente de seu problema acreditará (possivelmente com razão) que você é um maluco perigoso e suas reações frente a você terão um redutor de -3 pontos.
- Se suas personalidades forem facetas de um único “indivíduo”, esta desvantagem valerá -10 pontos.
- Se as personalidades tiverem pouca consciência umas das outras, interprete suas memórias diferentemente e tenha nomes diferentes. Neste caso, a desvantagem vale -15 pontos.
</t>
  </si>
  <si>
    <t>DUPLA PERSONALIDADE LEVE</t>
  </si>
  <si>
    <t>TEIMOSIA</t>
  </si>
  <si>
    <t xml:space="preserve">
- Você sempre quer fazer as coisas a seu modo e deverá ser uma pessoal difícil de se conviver. Represente!
- Seus amigos podem vir a ter de fazer um bocado de testes de Lábia para conseguir que você os acompanhe em planos perfeitamente razoáveis.
- A reação das outras pessoas com relação a você estará submetida a um redutor de -1 ponto.</t>
  </si>
  <si>
    <t>TIMIDEZ GRAVE</t>
  </si>
  <si>
    <t xml:space="preserve">
- Você se sente desconfortável com pessoas estranhas por perto.
- Esta desvantagem existe em três níveis: Suave, Grave e Paralizante. Você deve representar sua timidez.
- Esta desvantagem pode ser recomprada à razão de um nível por vez.
- Timidez Grave: Você se sente muito desconfortável na presença de estranhos e tende a permanecer calado mesmo entre amigos. Todas as perícias que o obrigam a lidar com o público (especialmente Dissimulação, Trovador, Boemia, Diplomacia, Lábia, Liderança, Comércio, Política, Trato Social, Sex-Appeal e Pedagogia) estarão reduzidas em 2 pontos.</t>
  </si>
  <si>
    <t>TIMIDEZ PARALIZANTE</t>
  </si>
  <si>
    <t xml:space="preserve">
- Você se sente desconfortável com pessoas estranhas por perto.
- Esta desvantagem existe em três níveis: Suave, Grave e Paralizante. Você deve representar sua timidez.
- Esta desvantagem pode ser recomprada à razão de um nível por vez.
- Você evita estranhos sempre que possível e é incapaz de falar em público. Não poderá aprender nenhuma perícia que envolva o trato com o público. Seus testes nestas perícias com valor pré-definido estarão submetidos a um redutor de -4.</t>
  </si>
  <si>
    <t>TIMIDEZ SUAVE</t>
  </si>
  <si>
    <t xml:space="preserve">
- Você se sente desconfortável com pessoas estranhas por perto.
- Esta desvantagem existe em três níveis: Suave, Grave e Paralizante. Você deve representar sua timidez.
- Esta desvantagem pode ser recomprada à razão de um nível por vez.
- Timidez Suave: Um tanto desconfortável na presença de pessoas estranhas, especialmente se elas forem agressivas ou atraentes. Todas as perícias que o obrigam a lidar com o público (especialmente Dissimulação, Trovador, Boemia, Diplomacia, Lábia, Liderança, Comércio, Política, Trato Social, Sex-Appeal e Pedagogia) estarão submetidas a um redutor de -1.</t>
  </si>
  <si>
    <t>VERACIDADE</t>
  </si>
  <si>
    <t xml:space="preserve">
- Você odeia dizer uma mentira ou o faz muito mal.
- Para conseguir se manter calado sobre a uma verdade desconfortável (mentir por omissão), você precisa de um sucesso em um teste de Vontade.
- Para chegar a realmente dizer uma mentira o teste precisará ser feito com um redutor de -5.
- Uma falha significará que você deixou escapar a verdade ou gaguejou tanto que sua mentira ficou óbvia. (Se alguém estiver usando Detecção de Mentiras em você, haverá um redutor adicional de -5.)</t>
  </si>
  <si>
    <t>VONTADE -1</t>
  </si>
  <si>
    <t xml:space="preserve">
- Você é facilmente persuadido, atemorizado, intimidado, coagido, tentado, etc.
- Para cada nível adotado, seu atributo IQ será efetivamente diminuído em 1 ponto sempre que você fizer um teste de Vontade, inclusive tentativas de resistir à Diplomacia, Lábia, Sex-appeal, Interrogatório, Hipnotismo ou tentativas mágicas ou psíquicas de assumir o comando, ler ou influenciar sua mente.
- A Vontade Fraca também afetaas tentativas de controlar fobias, resistir à magia hostil, fazer Verificação de Pânico (veja pág. 93) e evitar ceder a um vício, comportamento furioso e coisas similares.
- Um personagem não pode ter simultaneamente Força de Vontade e Vontade Fraca.</t>
  </si>
  <si>
    <t>VONTADE -2</t>
  </si>
  <si>
    <t>VONTADE -3</t>
  </si>
  <si>
    <t>VONTADE -4</t>
  </si>
  <si>
    <t>VONTADE -5</t>
  </si>
  <si>
    <t>VOTO</t>
  </si>
  <si>
    <t xml:space="preserve">
- Você fez um juramento de que faria (ou não faria) uma determinada coisa.
- Esta desvantagem é especialmente adequada para cavaleiros, homens santos e fanáticos.
- Lembre-se que, qualquer que seja o voto, você o levará a sério. Se você não agir assim, ele não será uma desvantagem.
- O valor preciso de um voto é decidido pelo Mestre, mas deveria estar diretamente relacionado ao transtorno que ele causa ao personagem.
- Se você fizer um “voto de pobreza” você não poderá receber também os pontos por ser falido. Nem poderá, também, fazer um voto de nunca matar e receber os pontos pelo Pacifismo “Incapaz de Matar”... e assim por diante.
- A maioria dos votos termina depois de um determinado período de tempo. Você deverá recomprar os pontos devidos ao voto quando isto acontecer. Votos por períodos menores que um ano são frívolos. O Mestre deverá exigir uma penalidade, se um personagem desejar abandonar um voto antes do tempo determinado. Num cenário medieval, por exemplo, uma busca ou outra penitência seria apropriado (uma busca pode, por si só, ser um voto).
- Voto: Não usar armas afiadas; ficar em silêncio todo o tempo, nunca dormir sob um teto, não possuir nada além do que o cavalo pode carregar.</t>
  </si>
  <si>
    <t>VOTO GRAVE</t>
  </si>
  <si>
    <t xml:space="preserve">
- Você fez um juramento de que faria (ou não faria) uma determinada coisa.
- Esta desvantagem é especialmente adequada para cavaleiros, homens santos e fanáticos.
- Lembre-se que, qualquer que seja o voto, você o levará a sério. Se você não agir assim, ele não será uma desvantagem.
- O valor preciso de um voto é decidido pelo Mestre, mas deveria estar diretamente relacionado ao transtorno que ele causa ao personagem.
- Se você fizer um “voto de pobreza” você não poderá receber também os pontos por ser falido. Nem poderá, também, fazer um voto de nunca matar e receber os pontos pelo Pacifismo “Incapaz de Matar”... e assim por diante.
- A maioria dos votos termina depois de um determinado período de tempo. Você deverá recomprar os pontos devidos ao voto quando isto acontecer. Votos por períodos menores que um ano são frívolos. O Mestre deverá exigir uma penalidade, se um personagem desejar abandonar um voto antes do tempo determinado. Num cenário medieval, por exemplo, uma busca ou outra penitência seria apropriado (uma busca pode, por si só, ser um voto).
- Voto Grave: Nunca recusar nenhum pedido de ajuda, sempre lutar com a mão trocada, caçar um inimigo até destruílo, desafiar todos os cavaleiros que encontrar para um combate.</t>
  </si>
  <si>
    <t>VOTO LEVE</t>
  </si>
  <si>
    <t xml:space="preserve">
- Você fez um juramento de que faria (ou não faria) uma determinada coisa.
- Esta desvantagem é especialmente adequada para cavaleiros, homens santos e fanáticos.
- Lembre-se que, qualquer que seja o voto, você o levará a sério. Se você não agir assim, ele não será uma desvantagem.
- O valor preciso de um voto é decidido pelo Mestre, mas deveria estar diretamente relacionado ao transtorno que ele causa ao personagem.
- Se você fizer um “voto de pobreza” você não poderá receber também os pontos por ser falido. Nem poderá, também, fazer um voto de nunca matar e receber os pontos pelo Pacifismo “Incapaz de Matar”... e assim por diante.
- A maioria dos votos termina depois de um determinado período de tempo. Você deverá recomprar os pontos devidos ao voto quando isto acontecer. Votos por períodos menores que um ano são frívolos. O Mestre deverá exigir uma penalidade, se um personagem desejar abandonar um voto antes do tempo determinado. Num cenário medieval, por exemplo, uma busca ou outra penitência seria apropriado (uma busca pode, por si só, ser um voto).
- Voto Leve:  Voto de silêncio durante o dia, vegetarianismo, castidade (é isso sim! Para efeito de jogo este é um voto de pouca importância.).</t>
  </si>
  <si>
    <t>VOTO TRIVIAL</t>
  </si>
  <si>
    <t xml:space="preserve">
- Você fez um juramento de que faria (ou não faria) uma determinada coisa.
- Esta desvantagem é especialmente adequada para cavaleiros, homens santos e fanáticos.
- Lembre-se que, qualquer que seja o voto, você o levará a sério. Se você não agir assim, ele não será uma desvantagem.
- O valor preciso de um voto é decidido pelo Mestre, mas deveria estar diretamente relacionado ao transtorno que ele causa ao personagem.
- Se você fizer um “voto de pobreza” você não poderá receber também os pontos por ser falido. Nem poderá, também, fazer um voto de nunca matar e receber os pontos pelo Pacifismo “Incapaz de Matar”... e assim por diante.
- A maioria dos votos termina depois de um determinado período de tempo. Você deverá recomprar os pontos devidos ao voto quando isto acontecer. Votos por períodos menores que um ano são frívolos. O Mestre deverá exigir uma penalidade, se um personagem desejar abandonar um voto antes do tempo determinado. Num cenário medieval, por exemplo, uma busca ou outra penitência seria apropriado (uma busca pode, por si só, ser um voto).
- Voto Trivial (uma peculiaridade): Sempre usar vermelho; nunca ingerir álcool, tratar todas as damas com cortesia; doar 10% de sua renda para uma igreja.</t>
  </si>
  <si>
    <t>SENSO DO DEVER</t>
  </si>
  <si>
    <t xml:space="preserve">
- Esta desvantagem é diferente de um dever de verdade.
- Um Dever pode ser imposto a você. O Senso do Dever vem de dentro.
- Não é, também, a mesma coisa que Honestidade (v. pág. 33). Uma pessoa desonesta pode ter um senso do dever. Robin Hood era desones- to; ele roubava! Mas tinha um forte Senso do Dever com relação a seus homens e aos pobres de sua região.
-Se você sente um dever para com alguma pessoa, nunca a trairá ou abandonará quando ela estiver enfrentando um problema, nem deixará que ela sofra ou passe fome, se você puder ajudar.
- Se você for conhecido por ter Senso do Dever, a reação das outras pessoas com relação a você terá um bônus de +2, por confiarem em você numa situação de perigo.
- Se você tiver senso de dever e agir contra ele, agindo contra os interesses daqueles por quem supostamente você sente este dever, o Mestre o penalizará por má atuação.
- O jogador define o grupo pelo qual o personagem terá seu senso de dever e o GM transformará isto em pontos.
- Exemplos: apenas com relação aos companheiros e amigos íntimos (-5 pontos); com relação a uma nação ou um grupo grande de pessoas (-10 pontos); com relação a todas as pessoas que você conhece pessoalmente (-10 pontos); com relação a toda a humanidade (-15 pontos) ou todos os seres vivos (-20 pontos... e você será um santo muito difícil de suportar).</t>
  </si>
  <si>
    <t>SENSO DO DEVER GRAVE</t>
  </si>
  <si>
    <t>SENSO DO DEVER LEVE</t>
  </si>
  <si>
    <t>SENSO DO DEVER MUITO GRAVE</t>
  </si>
  <si>
    <t>disadvantage_source_book</t>
  </si>
  <si>
    <t>advantage_source_book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</si>
</sst>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8"/>
  <sheetViews>
    <sheetView workbookViewId="0">
      <selection activeCell="G1" sqref="G1"/>
    </sheetView>
  </sheetViews>
  <sheetFormatPr defaultColWidth="12.5703125" defaultRowHeight="15.75" customHeight="1" x14ac:dyDescent="0.2"/>
  <cols>
    <col min="1" max="1" width="11" customWidth="1"/>
    <col min="2" max="2" width="21.42578125" customWidth="1"/>
    <col min="3" max="3" width="18.42578125" customWidth="1"/>
    <col min="4" max="4" width="13.85546875" customWidth="1"/>
    <col min="5" max="5" width="13.140625" customWidth="1"/>
    <col min="6" max="6" width="111.5703125" customWidth="1"/>
    <col min="7" max="27" width="31.140625" customWidth="1"/>
  </cols>
  <sheetData>
    <row r="1" spans="1:27" x14ac:dyDescent="0.2">
      <c r="A1" s="1" t="s">
        <v>0</v>
      </c>
      <c r="B1" s="1" t="s">
        <v>1</v>
      </c>
      <c r="C1" s="1" t="s">
        <v>2</v>
      </c>
      <c r="D1" s="1" t="s">
        <v>3</v>
      </c>
      <c r="E1" s="2" t="s">
        <v>4</v>
      </c>
      <c r="F1" s="2" t="s">
        <v>5</v>
      </c>
      <c r="G1" s="1" t="s">
        <v>358</v>
      </c>
      <c r="H1" s="2" t="s">
        <v>6</v>
      </c>
      <c r="I1" s="3"/>
      <c r="J1" s="3"/>
      <c r="K1" s="3"/>
      <c r="L1" s="3"/>
      <c r="M1" s="3"/>
      <c r="N1" s="3"/>
      <c r="O1" s="3"/>
      <c r="P1" s="3"/>
      <c r="Q1" s="3"/>
      <c r="R1" s="3"/>
      <c r="S1" s="3"/>
      <c r="T1" s="3"/>
      <c r="U1" s="3"/>
      <c r="V1" s="3"/>
      <c r="W1" s="3"/>
      <c r="X1" s="3"/>
      <c r="Y1" s="3"/>
      <c r="Z1" s="3"/>
      <c r="AA1" s="3"/>
    </row>
    <row r="2" spans="1:27" x14ac:dyDescent="0.2">
      <c r="A2" s="1" t="s">
        <v>7</v>
      </c>
      <c r="B2" s="1" t="str">
        <f t="shared" ref="B2:B98" si="0">CONCATENATE(C2," | ",D2)</f>
        <v>ATRAENTE | 5</v>
      </c>
      <c r="C2" s="1" t="s">
        <v>8</v>
      </c>
      <c r="D2" s="1">
        <v>5</v>
      </c>
      <c r="E2" s="2" t="s">
        <v>9</v>
      </c>
      <c r="F2" s="2" t="s">
        <v>10</v>
      </c>
      <c r="G2" s="2" t="s">
        <v>11</v>
      </c>
      <c r="H2" s="2">
        <v>15</v>
      </c>
      <c r="I2" s="3"/>
      <c r="J2" s="3"/>
      <c r="K2" s="3"/>
      <c r="L2" s="3"/>
      <c r="M2" s="3"/>
      <c r="N2" s="3"/>
      <c r="O2" s="3"/>
      <c r="P2" s="3"/>
      <c r="Q2" s="3"/>
      <c r="R2" s="3"/>
      <c r="S2" s="3"/>
      <c r="T2" s="3"/>
      <c r="U2" s="3"/>
      <c r="V2" s="3"/>
      <c r="W2" s="3"/>
      <c r="X2" s="3"/>
      <c r="Y2" s="3"/>
      <c r="Z2" s="3"/>
      <c r="AA2" s="3"/>
    </row>
    <row r="3" spans="1:27" x14ac:dyDescent="0.2">
      <c r="A3" s="1" t="str">
        <f ca="1">IFERROR(__xludf.DUMMYFUNCTION("LEFT(A2, 4) &amp; TEXT(REGEXEXTRACT(A2, ""-(\d+)"") + 1, ""000"")"),"ADV-001")</f>
        <v>ADV-001</v>
      </c>
      <c r="B3" s="1" t="str">
        <f t="shared" si="0"/>
        <v>ELEGANTE/BONITO | 15</v>
      </c>
      <c r="C3" s="1" t="s">
        <v>12</v>
      </c>
      <c r="D3" s="1">
        <v>15</v>
      </c>
      <c r="E3" s="2" t="s">
        <v>9</v>
      </c>
      <c r="F3" s="2" t="s">
        <v>13</v>
      </c>
      <c r="G3" s="2" t="s">
        <v>11</v>
      </c>
      <c r="H3" s="2">
        <v>15</v>
      </c>
      <c r="I3" s="3"/>
      <c r="J3" s="3"/>
      <c r="K3" s="3"/>
      <c r="L3" s="3"/>
      <c r="M3" s="3"/>
      <c r="N3" s="3"/>
      <c r="O3" s="3"/>
      <c r="P3" s="3"/>
      <c r="Q3" s="3"/>
      <c r="R3" s="3"/>
      <c r="S3" s="3"/>
      <c r="T3" s="3"/>
      <c r="U3" s="3"/>
      <c r="V3" s="3"/>
      <c r="W3" s="3"/>
      <c r="X3" s="3"/>
      <c r="Y3" s="3"/>
      <c r="Z3" s="3"/>
      <c r="AA3" s="3"/>
    </row>
    <row r="4" spans="1:27" x14ac:dyDescent="0.2">
      <c r="A4" s="1" t="str">
        <f ca="1">IFERROR(__xludf.DUMMYFUNCTION("LEFT(A3, 4) &amp; TEXT(REGEXEXTRACT(A3, ""-(\d+)"") + 1, ""000"")"),"ADV-002")</f>
        <v>ADV-002</v>
      </c>
      <c r="B4" s="1" t="str">
        <f t="shared" si="0"/>
        <v>MUITO BONITO | 25</v>
      </c>
      <c r="C4" s="1" t="s">
        <v>14</v>
      </c>
      <c r="D4" s="1">
        <v>25</v>
      </c>
      <c r="E4" s="2" t="s">
        <v>9</v>
      </c>
      <c r="F4" s="2" t="s">
        <v>15</v>
      </c>
      <c r="G4" s="2" t="s">
        <v>11</v>
      </c>
      <c r="H4" s="2">
        <v>15</v>
      </c>
      <c r="I4" s="3"/>
      <c r="J4" s="3"/>
      <c r="K4" s="3"/>
      <c r="L4" s="3"/>
      <c r="M4" s="3"/>
      <c r="N4" s="3"/>
      <c r="O4" s="3"/>
      <c r="P4" s="3"/>
      <c r="Q4" s="3"/>
      <c r="R4" s="3"/>
      <c r="S4" s="3"/>
      <c r="T4" s="3"/>
      <c r="U4" s="3"/>
      <c r="V4" s="3"/>
      <c r="W4" s="3"/>
      <c r="X4" s="3"/>
      <c r="Y4" s="3"/>
      <c r="Z4" s="3"/>
      <c r="AA4" s="3"/>
    </row>
    <row r="5" spans="1:27" x14ac:dyDescent="0.2">
      <c r="A5" s="1" t="str">
        <f ca="1">IFERROR(__xludf.DUMMYFUNCTION("LEFT(A4, 4) &amp; TEXT(REGEXEXTRACT(A4, ""-(\d+)"") + 1, ""000"")"),"ADV-003")</f>
        <v>ADV-003</v>
      </c>
      <c r="B5" s="1" t="str">
        <f t="shared" si="0"/>
        <v>CONFORTÁVEL | 10</v>
      </c>
      <c r="C5" s="1" t="s">
        <v>16</v>
      </c>
      <c r="D5" s="1">
        <v>10</v>
      </c>
      <c r="E5" s="2" t="s">
        <v>9</v>
      </c>
      <c r="F5" s="2" t="s">
        <v>17</v>
      </c>
      <c r="G5" s="2" t="s">
        <v>11</v>
      </c>
      <c r="H5" s="2">
        <v>16</v>
      </c>
      <c r="I5" s="3"/>
      <c r="J5" s="3"/>
      <c r="K5" s="3"/>
      <c r="L5" s="3"/>
      <c r="M5" s="3"/>
      <c r="N5" s="3"/>
      <c r="O5" s="3"/>
      <c r="P5" s="3"/>
      <c r="Q5" s="3"/>
      <c r="R5" s="3"/>
      <c r="S5" s="3"/>
      <c r="T5" s="3"/>
      <c r="U5" s="3"/>
      <c r="V5" s="3"/>
      <c r="W5" s="3"/>
      <c r="X5" s="3"/>
      <c r="Y5" s="3"/>
      <c r="Z5" s="3"/>
      <c r="AA5" s="3"/>
    </row>
    <row r="6" spans="1:27" x14ac:dyDescent="0.2">
      <c r="A6" s="1" t="str">
        <f ca="1">IFERROR(__xludf.DUMMYFUNCTION("LEFT(A5, 4) &amp; TEXT(REGEXEXTRACT(A5, ""-(\d+)"") + 1, ""000"")"),"ADV-004")</f>
        <v>ADV-004</v>
      </c>
      <c r="B6" s="1" t="str">
        <f t="shared" si="0"/>
        <v>RICO | 20</v>
      </c>
      <c r="C6" s="1" t="s">
        <v>18</v>
      </c>
      <c r="D6" s="1">
        <v>20</v>
      </c>
      <c r="E6" s="2" t="s">
        <v>9</v>
      </c>
      <c r="F6" s="2" t="s">
        <v>19</v>
      </c>
      <c r="G6" s="2" t="s">
        <v>11</v>
      </c>
      <c r="H6" s="2">
        <v>16</v>
      </c>
      <c r="I6" s="3"/>
      <c r="J6" s="3"/>
      <c r="K6" s="3"/>
      <c r="L6" s="3"/>
      <c r="M6" s="3"/>
      <c r="N6" s="3"/>
      <c r="O6" s="3"/>
      <c r="P6" s="3"/>
      <c r="Q6" s="3"/>
      <c r="R6" s="3"/>
      <c r="S6" s="3"/>
      <c r="T6" s="3"/>
      <c r="U6" s="3"/>
      <c r="V6" s="3"/>
      <c r="W6" s="3"/>
      <c r="X6" s="3"/>
      <c r="Y6" s="3"/>
      <c r="Z6" s="3"/>
      <c r="AA6" s="3"/>
    </row>
    <row r="7" spans="1:27" x14ac:dyDescent="0.2">
      <c r="A7" s="1" t="str">
        <f ca="1">IFERROR(__xludf.DUMMYFUNCTION("LEFT(A6, 4) &amp; TEXT(REGEXEXTRACT(A6, ""-(\d+)"") + 1, ""000"")"),"ADV-005")</f>
        <v>ADV-005</v>
      </c>
      <c r="B7" s="1" t="str">
        <f t="shared" si="0"/>
        <v>MUITO RICO | 30</v>
      </c>
      <c r="C7" s="1" t="s">
        <v>20</v>
      </c>
      <c r="D7" s="1">
        <v>30</v>
      </c>
      <c r="E7" s="2" t="s">
        <v>9</v>
      </c>
      <c r="F7" s="2" t="s">
        <v>21</v>
      </c>
      <c r="G7" s="2" t="s">
        <v>11</v>
      </c>
      <c r="H7" s="2">
        <v>16</v>
      </c>
      <c r="I7" s="3"/>
      <c r="J7" s="3"/>
      <c r="K7" s="3"/>
      <c r="L7" s="3"/>
      <c r="M7" s="3"/>
      <c r="N7" s="3"/>
      <c r="O7" s="3"/>
      <c r="P7" s="3"/>
      <c r="Q7" s="3"/>
      <c r="R7" s="3"/>
      <c r="S7" s="3"/>
      <c r="T7" s="3"/>
      <c r="U7" s="3"/>
      <c r="V7" s="3"/>
      <c r="W7" s="3"/>
      <c r="X7" s="3"/>
      <c r="Y7" s="3"/>
      <c r="Z7" s="3"/>
      <c r="AA7" s="3"/>
    </row>
    <row r="8" spans="1:27" x14ac:dyDescent="0.2">
      <c r="A8" s="1" t="str">
        <f ca="1">IFERROR(__xludf.DUMMYFUNCTION("LEFT(A7, 4) &amp; TEXT(REGEXEXTRACT(A7, ""-(\d+)"") + 1, ""000"")"),"ADV-006")</f>
        <v>ADV-006</v>
      </c>
      <c r="B8" s="1" t="str">
        <f t="shared" si="0"/>
        <v>PODRE DE RICO | 50</v>
      </c>
      <c r="C8" s="1" t="s">
        <v>22</v>
      </c>
      <c r="D8" s="1">
        <v>50</v>
      </c>
      <c r="E8" s="2" t="s">
        <v>9</v>
      </c>
      <c r="F8" s="2" t="s">
        <v>23</v>
      </c>
      <c r="G8" s="2" t="s">
        <v>11</v>
      </c>
      <c r="H8" s="2">
        <v>16</v>
      </c>
      <c r="I8" s="3"/>
      <c r="J8" s="3"/>
      <c r="K8" s="3"/>
      <c r="L8" s="3"/>
      <c r="M8" s="3"/>
      <c r="N8" s="3"/>
      <c r="O8" s="3"/>
      <c r="P8" s="3"/>
      <c r="Q8" s="3"/>
      <c r="R8" s="3"/>
      <c r="S8" s="3"/>
      <c r="T8" s="3"/>
      <c r="U8" s="3"/>
      <c r="V8" s="3"/>
      <c r="W8" s="3"/>
      <c r="X8" s="3"/>
      <c r="Y8" s="3"/>
      <c r="Z8" s="3"/>
      <c r="AA8" s="3"/>
    </row>
    <row r="9" spans="1:27" x14ac:dyDescent="0.2">
      <c r="A9" s="1" t="str">
        <f ca="1">IFERROR(__xludf.DUMMYFUNCTION("LEFT(A8, 4) &amp; TEXT(REGEXEXTRACT(A8, ""-(\d+)"") + 1, ""000"")"),"ADV-007")</f>
        <v>ADV-007</v>
      </c>
      <c r="B9" s="1" t="str">
        <f t="shared" si="0"/>
        <v>REPUTAÇÃO 1 | 5</v>
      </c>
      <c r="C9" s="1" t="s">
        <v>24</v>
      </c>
      <c r="D9" s="1">
        <v>5</v>
      </c>
      <c r="E9" s="2" t="s">
        <v>9</v>
      </c>
      <c r="F9" s="2" t="s">
        <v>25</v>
      </c>
      <c r="G9" s="2" t="s">
        <v>11</v>
      </c>
      <c r="H9" s="2">
        <v>17</v>
      </c>
      <c r="I9" s="3"/>
      <c r="J9" s="3"/>
      <c r="K9" s="3"/>
      <c r="L9" s="3"/>
      <c r="M9" s="3"/>
      <c r="N9" s="3"/>
      <c r="O9" s="3"/>
      <c r="P9" s="3"/>
      <c r="Q9" s="3"/>
      <c r="R9" s="3"/>
      <c r="S9" s="3"/>
      <c r="T9" s="3"/>
      <c r="U9" s="3"/>
      <c r="V9" s="3"/>
      <c r="W9" s="3"/>
      <c r="X9" s="3"/>
      <c r="Y9" s="3"/>
      <c r="Z9" s="3"/>
      <c r="AA9" s="3"/>
    </row>
    <row r="10" spans="1:27" x14ac:dyDescent="0.2">
      <c r="A10" s="1" t="str">
        <f ca="1">IFERROR(__xludf.DUMMYFUNCTION("LEFT(A9, 4) &amp; TEXT(REGEXEXTRACT(A9, ""-(\d+)"") + 1, ""000"")"),"ADV-008")</f>
        <v>ADV-008</v>
      </c>
      <c r="B10" s="1" t="str">
        <f t="shared" si="0"/>
        <v>REPUTAÇÃO 2 | 10</v>
      </c>
      <c r="C10" s="1" t="s">
        <v>26</v>
      </c>
      <c r="D10" s="1">
        <v>10</v>
      </c>
      <c r="E10" s="2" t="s">
        <v>9</v>
      </c>
      <c r="F10" s="2" t="s">
        <v>25</v>
      </c>
      <c r="G10" s="2" t="s">
        <v>11</v>
      </c>
      <c r="H10" s="2">
        <v>17</v>
      </c>
      <c r="I10" s="3"/>
      <c r="J10" s="3"/>
      <c r="K10" s="3"/>
      <c r="L10" s="3"/>
      <c r="M10" s="3"/>
      <c r="N10" s="3"/>
      <c r="O10" s="3"/>
      <c r="P10" s="3"/>
      <c r="Q10" s="3"/>
      <c r="R10" s="3"/>
      <c r="S10" s="3"/>
      <c r="T10" s="3"/>
      <c r="U10" s="3"/>
      <c r="V10" s="3"/>
      <c r="W10" s="3"/>
      <c r="X10" s="3"/>
      <c r="Y10" s="3"/>
      <c r="Z10" s="3"/>
      <c r="AA10" s="3"/>
    </row>
    <row r="11" spans="1:27" x14ac:dyDescent="0.2">
      <c r="A11" s="1" t="str">
        <f ca="1">IFERROR(__xludf.DUMMYFUNCTION("LEFT(A10, 4) &amp; TEXT(REGEXEXTRACT(A10, ""-(\d+)"") + 1, ""000"")"),"ADV-009")</f>
        <v>ADV-009</v>
      </c>
      <c r="B11" s="1" t="str">
        <f t="shared" si="0"/>
        <v>REPUTAÇÃO 3 | 15</v>
      </c>
      <c r="C11" s="1" t="s">
        <v>27</v>
      </c>
      <c r="D11" s="1">
        <v>15</v>
      </c>
      <c r="E11" s="2" t="s">
        <v>9</v>
      </c>
      <c r="F11" s="2" t="s">
        <v>25</v>
      </c>
      <c r="G11" s="2" t="s">
        <v>11</v>
      </c>
      <c r="H11" s="2">
        <v>17</v>
      </c>
      <c r="I11" s="3"/>
      <c r="J11" s="3"/>
      <c r="K11" s="3"/>
      <c r="L11" s="3"/>
      <c r="M11" s="3"/>
      <c r="N11" s="3"/>
      <c r="O11" s="3"/>
      <c r="P11" s="3"/>
      <c r="Q11" s="3"/>
      <c r="R11" s="3"/>
      <c r="S11" s="3"/>
      <c r="T11" s="3"/>
      <c r="U11" s="3"/>
      <c r="V11" s="3"/>
      <c r="W11" s="3"/>
      <c r="X11" s="3"/>
      <c r="Y11" s="3"/>
      <c r="Z11" s="3"/>
      <c r="AA11" s="3"/>
    </row>
    <row r="12" spans="1:27" x14ac:dyDescent="0.2">
      <c r="A12" s="1" t="str">
        <f ca="1">IFERROR(__xludf.DUMMYFUNCTION("LEFT(A11, 4) &amp; TEXT(REGEXEXTRACT(A11, ""-(\d+)"") + 1, ""000"")"),"ADV-010")</f>
        <v>ADV-010</v>
      </c>
      <c r="B12" s="1" t="str">
        <f t="shared" si="0"/>
        <v>REPUTAÇÃO 4 | 20</v>
      </c>
      <c r="C12" s="1" t="s">
        <v>28</v>
      </c>
      <c r="D12" s="1">
        <v>20</v>
      </c>
      <c r="E12" s="2" t="s">
        <v>9</v>
      </c>
      <c r="F12" s="2" t="s">
        <v>25</v>
      </c>
      <c r="G12" s="2" t="s">
        <v>11</v>
      </c>
      <c r="H12" s="2">
        <v>17</v>
      </c>
      <c r="I12" s="3"/>
      <c r="J12" s="3"/>
      <c r="K12" s="3"/>
      <c r="L12" s="3"/>
      <c r="M12" s="3"/>
      <c r="N12" s="3"/>
      <c r="O12" s="3"/>
      <c r="P12" s="3"/>
      <c r="Q12" s="3"/>
      <c r="R12" s="3"/>
      <c r="S12" s="3"/>
      <c r="T12" s="3"/>
      <c r="U12" s="3"/>
      <c r="V12" s="3"/>
      <c r="W12" s="3"/>
      <c r="X12" s="3"/>
      <c r="Y12" s="3"/>
      <c r="Z12" s="3"/>
      <c r="AA12" s="3"/>
    </row>
    <row r="13" spans="1:27" x14ac:dyDescent="0.2">
      <c r="A13" s="1" t="str">
        <f ca="1">IFERROR(__xludf.DUMMYFUNCTION("LEFT(A12, 4) &amp; TEXT(REGEXEXTRACT(A12, ""-(\d+)"") + 1, ""000"")"),"ADV-011")</f>
        <v>ADV-011</v>
      </c>
      <c r="B13" s="1" t="str">
        <f t="shared" si="0"/>
        <v>AMBIDESTRIA | 10</v>
      </c>
      <c r="C13" s="1" t="s">
        <v>29</v>
      </c>
      <c r="D13" s="1">
        <v>10</v>
      </c>
      <c r="E13" s="2" t="s">
        <v>30</v>
      </c>
      <c r="F13" s="2" t="s">
        <v>31</v>
      </c>
      <c r="G13" s="2" t="s">
        <v>11</v>
      </c>
      <c r="H13" s="2">
        <v>19</v>
      </c>
      <c r="I13" s="3"/>
      <c r="J13" s="3"/>
      <c r="K13" s="3"/>
      <c r="L13" s="3"/>
      <c r="M13" s="3"/>
      <c r="N13" s="3"/>
      <c r="O13" s="3"/>
      <c r="P13" s="3"/>
      <c r="Q13" s="3"/>
      <c r="R13" s="3"/>
      <c r="S13" s="3"/>
      <c r="T13" s="3"/>
      <c r="U13" s="3"/>
      <c r="V13" s="3"/>
      <c r="W13" s="3"/>
      <c r="X13" s="3"/>
      <c r="Y13" s="3"/>
      <c r="Z13" s="3"/>
      <c r="AA13" s="3"/>
    </row>
    <row r="14" spans="1:27" x14ac:dyDescent="0.2">
      <c r="A14" s="1" t="str">
        <f ca="1">IFERROR(__xludf.DUMMYFUNCTION("LEFT(A13, 4) &amp; TEXT(REGEXEXTRACT(A13, ""-(\d+)"") + 1, ""000"")"),"ADV-012")</f>
        <v>ADV-012</v>
      </c>
      <c r="B14" s="1" t="str">
        <f t="shared" si="0"/>
        <v>CARISMA +1 | 5</v>
      </c>
      <c r="C14" s="1" t="s">
        <v>32</v>
      </c>
      <c r="D14" s="1">
        <v>5</v>
      </c>
      <c r="E14" s="2" t="s">
        <v>9</v>
      </c>
      <c r="F14" s="2" t="s">
        <v>33</v>
      </c>
      <c r="G14" s="2" t="s">
        <v>11</v>
      </c>
      <c r="H14" s="2">
        <v>19</v>
      </c>
      <c r="I14" s="3"/>
      <c r="J14" s="3"/>
      <c r="K14" s="3"/>
      <c r="L14" s="3"/>
      <c r="M14" s="3"/>
      <c r="N14" s="3"/>
      <c r="O14" s="3"/>
      <c r="P14" s="3"/>
      <c r="Q14" s="3"/>
      <c r="R14" s="3"/>
      <c r="S14" s="3"/>
      <c r="T14" s="3"/>
      <c r="U14" s="3"/>
      <c r="V14" s="3"/>
      <c r="W14" s="3"/>
      <c r="X14" s="3"/>
      <c r="Y14" s="3"/>
      <c r="Z14" s="3"/>
      <c r="AA14" s="3"/>
    </row>
    <row r="15" spans="1:27" x14ac:dyDescent="0.2">
      <c r="A15" s="1" t="str">
        <f ca="1">IFERROR(__xludf.DUMMYFUNCTION("LEFT(A14, 4) &amp; TEXT(REGEXEXTRACT(A14, ""-(\d+)"") + 1, ""000"")"),"ADV-013")</f>
        <v>ADV-013</v>
      </c>
      <c r="B15" s="1" t="str">
        <f t="shared" si="0"/>
        <v>CARISMA +2 | 10</v>
      </c>
      <c r="C15" s="1" t="s">
        <v>34</v>
      </c>
      <c r="D15" s="1">
        <v>10</v>
      </c>
      <c r="E15" s="2" t="s">
        <v>9</v>
      </c>
      <c r="F15" s="2" t="s">
        <v>33</v>
      </c>
      <c r="G15" s="2" t="s">
        <v>11</v>
      </c>
      <c r="H15" s="2">
        <v>19</v>
      </c>
      <c r="I15" s="3"/>
      <c r="J15" s="3"/>
      <c r="K15" s="3"/>
      <c r="L15" s="3"/>
      <c r="M15" s="3"/>
      <c r="N15" s="3"/>
      <c r="O15" s="3"/>
      <c r="P15" s="3"/>
      <c r="Q15" s="3"/>
      <c r="R15" s="3"/>
      <c r="S15" s="3"/>
      <c r="T15" s="3"/>
      <c r="U15" s="3"/>
      <c r="V15" s="3"/>
      <c r="W15" s="3"/>
      <c r="X15" s="3"/>
      <c r="Y15" s="3"/>
      <c r="Z15" s="3"/>
      <c r="AA15" s="3"/>
    </row>
    <row r="16" spans="1:27" x14ac:dyDescent="0.2">
      <c r="A16" s="1" t="str">
        <f ca="1">IFERROR(__xludf.DUMMYFUNCTION("LEFT(A15, 4) &amp; TEXT(REGEXEXTRACT(A15, ""-(\d+)"") + 1, ""000"")"),"ADV-014")</f>
        <v>ADV-014</v>
      </c>
      <c r="B16" s="1" t="str">
        <f t="shared" si="0"/>
        <v>CARISMA +3 | 15</v>
      </c>
      <c r="C16" s="1" t="s">
        <v>35</v>
      </c>
      <c r="D16" s="1">
        <v>15</v>
      </c>
      <c r="E16" s="2" t="s">
        <v>9</v>
      </c>
      <c r="F16" s="2" t="s">
        <v>33</v>
      </c>
      <c r="G16" s="2" t="s">
        <v>11</v>
      </c>
      <c r="H16" s="2">
        <v>19</v>
      </c>
      <c r="I16" s="3"/>
      <c r="J16" s="3"/>
      <c r="K16" s="3"/>
      <c r="L16" s="3"/>
      <c r="M16" s="3"/>
      <c r="N16" s="3"/>
      <c r="O16" s="3"/>
      <c r="P16" s="3"/>
      <c r="Q16" s="3"/>
      <c r="R16" s="3"/>
      <c r="S16" s="3"/>
      <c r="T16" s="3"/>
      <c r="U16" s="3"/>
      <c r="V16" s="3"/>
      <c r="W16" s="3"/>
      <c r="X16" s="3"/>
      <c r="Y16" s="3"/>
      <c r="Z16" s="3"/>
      <c r="AA16" s="3"/>
    </row>
    <row r="17" spans="1:27" x14ac:dyDescent="0.2">
      <c r="A17" s="1" t="str">
        <f ca="1">IFERROR(__xludf.DUMMYFUNCTION("LEFT(A16, 4) &amp; TEXT(REGEXEXTRACT(A16, ""-(\d+)"") + 1, ""000"")"),"ADV-015")</f>
        <v>ADV-015</v>
      </c>
      <c r="B17" s="1" t="str">
        <f t="shared" si="0"/>
        <v>CARISMA +4 | 20</v>
      </c>
      <c r="C17" s="1" t="s">
        <v>36</v>
      </c>
      <c r="D17" s="1">
        <v>20</v>
      </c>
      <c r="E17" s="2" t="s">
        <v>9</v>
      </c>
      <c r="F17" s="2" t="s">
        <v>33</v>
      </c>
      <c r="G17" s="2" t="s">
        <v>11</v>
      </c>
      <c r="H17" s="2">
        <v>19</v>
      </c>
      <c r="I17" s="3"/>
      <c r="J17" s="3"/>
      <c r="K17" s="3"/>
      <c r="L17" s="3"/>
      <c r="M17" s="3"/>
      <c r="N17" s="3"/>
      <c r="O17" s="3"/>
      <c r="P17" s="3"/>
      <c r="Q17" s="3"/>
      <c r="R17" s="3"/>
      <c r="S17" s="3"/>
      <c r="T17" s="3"/>
      <c r="U17" s="3"/>
      <c r="V17" s="3"/>
      <c r="W17" s="3"/>
      <c r="X17" s="3"/>
      <c r="Y17" s="3"/>
      <c r="Z17" s="3"/>
      <c r="AA17" s="3"/>
    </row>
    <row r="18" spans="1:27" x14ac:dyDescent="0.2">
      <c r="A18" s="1" t="str">
        <f ca="1">IFERROR(__xludf.DUMMYFUNCTION("LEFT(A17, 4) &amp; TEXT(REGEXEXTRACT(A17, ""-(\d+)"") + 1, ""000"")"),"ADV-016")</f>
        <v>ADV-016</v>
      </c>
      <c r="B18" s="1" t="str">
        <f t="shared" si="0"/>
        <v>CARISMA +5 | 25</v>
      </c>
      <c r="C18" s="1" t="s">
        <v>37</v>
      </c>
      <c r="D18" s="1">
        <v>25</v>
      </c>
      <c r="E18" s="2" t="s">
        <v>9</v>
      </c>
      <c r="F18" s="2" t="s">
        <v>33</v>
      </c>
      <c r="G18" s="2" t="s">
        <v>11</v>
      </c>
      <c r="H18" s="2">
        <v>19</v>
      </c>
      <c r="I18" s="3"/>
      <c r="J18" s="3"/>
      <c r="K18" s="3"/>
      <c r="L18" s="3"/>
      <c r="M18" s="3"/>
      <c r="N18" s="3"/>
      <c r="O18" s="3"/>
      <c r="P18" s="3"/>
      <c r="Q18" s="3"/>
      <c r="R18" s="3"/>
      <c r="S18" s="3"/>
      <c r="T18" s="3"/>
      <c r="U18" s="3"/>
      <c r="V18" s="3"/>
      <c r="W18" s="3"/>
      <c r="X18" s="3"/>
      <c r="Y18" s="3"/>
      <c r="Z18" s="3"/>
      <c r="AA18" s="3"/>
    </row>
    <row r="19" spans="1:27" x14ac:dyDescent="0.2">
      <c r="A19" s="1" t="str">
        <f ca="1">IFERROR(__xludf.DUMMYFUNCTION("LEFT(A18, 4) &amp; TEXT(REGEXEXTRACT(A18, ""-(\d+)"") + 1, ""000"")"),"ADV-017")</f>
        <v>ADV-017</v>
      </c>
      <c r="B19" s="1" t="str">
        <f t="shared" si="0"/>
        <v>CLERICATO ESPIRITUAL | 10</v>
      </c>
      <c r="C19" s="1" t="s">
        <v>38</v>
      </c>
      <c r="D19" s="1">
        <v>10</v>
      </c>
      <c r="E19" s="2" t="s">
        <v>9</v>
      </c>
      <c r="F19" s="2" t="s">
        <v>39</v>
      </c>
      <c r="G19" s="2" t="s">
        <v>11</v>
      </c>
      <c r="H19" s="2">
        <v>19</v>
      </c>
      <c r="I19" s="3"/>
      <c r="J19" s="3"/>
      <c r="K19" s="3"/>
      <c r="L19" s="3"/>
      <c r="M19" s="3"/>
      <c r="N19" s="3"/>
      <c r="O19" s="3"/>
      <c r="P19" s="3"/>
      <c r="Q19" s="3"/>
      <c r="R19" s="3"/>
      <c r="S19" s="3"/>
      <c r="T19" s="3"/>
      <c r="U19" s="3"/>
      <c r="V19" s="3"/>
      <c r="W19" s="3"/>
      <c r="X19" s="3"/>
      <c r="Y19" s="3"/>
      <c r="Z19" s="3"/>
      <c r="AA19" s="3"/>
    </row>
    <row r="20" spans="1:27" x14ac:dyDescent="0.2">
      <c r="A20" s="1" t="str">
        <f ca="1">IFERROR(__xludf.DUMMYFUNCTION("LEFT(A19, 4) &amp; TEXT(REGEXEXTRACT(A19, ""-(\d+)"") + 1, ""000"")"),"ADV-018")</f>
        <v>ADV-018</v>
      </c>
      <c r="B20" s="1" t="str">
        <f t="shared" si="0"/>
        <v>CLERICATO SOCIAL | 5</v>
      </c>
      <c r="C20" s="1" t="s">
        <v>40</v>
      </c>
      <c r="D20" s="1">
        <v>5</v>
      </c>
      <c r="E20" s="2" t="s">
        <v>9</v>
      </c>
      <c r="F20" s="2" t="s">
        <v>39</v>
      </c>
      <c r="G20" s="2" t="s">
        <v>11</v>
      </c>
      <c r="H20" s="2">
        <v>19</v>
      </c>
      <c r="I20" s="3"/>
      <c r="J20" s="3"/>
      <c r="K20" s="3"/>
      <c r="L20" s="3"/>
      <c r="M20" s="3"/>
      <c r="N20" s="3"/>
      <c r="O20" s="3"/>
      <c r="P20" s="3"/>
      <c r="Q20" s="3"/>
      <c r="R20" s="3"/>
      <c r="S20" s="3"/>
      <c r="T20" s="3"/>
      <c r="U20" s="3"/>
      <c r="V20" s="3"/>
      <c r="W20" s="3"/>
      <c r="X20" s="3"/>
      <c r="Y20" s="3"/>
      <c r="Z20" s="3"/>
      <c r="AA20" s="3"/>
    </row>
    <row r="21" spans="1:27" x14ac:dyDescent="0.2">
      <c r="A21" s="1" t="str">
        <f ca="1">IFERROR(__xludf.DUMMYFUNCTION("LEFT(A20, 4) &amp; TEXT(REGEXEXTRACT(A20, ""-(\d+)"") + 1, ""000"")"),"ADV-019")</f>
        <v>ADV-019</v>
      </c>
      <c r="B21" s="1" t="str">
        <f t="shared" si="0"/>
        <v>EMPATIA COM ANIMAIS | 5</v>
      </c>
      <c r="C21" s="1" t="s">
        <v>41</v>
      </c>
      <c r="D21" s="1">
        <v>5</v>
      </c>
      <c r="E21" s="2" t="s">
        <v>42</v>
      </c>
      <c r="F21" s="2" t="s">
        <v>43</v>
      </c>
      <c r="G21" s="2" t="s">
        <v>11</v>
      </c>
      <c r="H21" s="2">
        <v>19</v>
      </c>
      <c r="I21" s="3"/>
      <c r="J21" s="3"/>
      <c r="K21" s="3"/>
      <c r="L21" s="3"/>
      <c r="M21" s="3"/>
      <c r="N21" s="3"/>
      <c r="O21" s="3"/>
      <c r="P21" s="3"/>
      <c r="Q21" s="3"/>
      <c r="R21" s="3"/>
      <c r="S21" s="3"/>
      <c r="T21" s="3"/>
      <c r="U21" s="3"/>
      <c r="V21" s="3"/>
      <c r="W21" s="3"/>
      <c r="X21" s="3"/>
      <c r="Y21" s="3"/>
      <c r="Z21" s="3"/>
      <c r="AA21" s="3"/>
    </row>
    <row r="22" spans="1:27" x14ac:dyDescent="0.2">
      <c r="A22" s="1" t="str">
        <f ca="1">IFERROR(__xludf.DUMMYFUNCTION("LEFT(A21, 4) &amp; TEXT(REGEXEXTRACT(A21, ""-(\d+)"") + 1, ""000"")"),"ADV-020")</f>
        <v>ADV-020</v>
      </c>
      <c r="B22" s="1" t="str">
        <f t="shared" si="0"/>
        <v>NOÇÃO EXATA DO TEMPO | 5</v>
      </c>
      <c r="C22" s="1" t="s">
        <v>44</v>
      </c>
      <c r="D22" s="1">
        <v>5</v>
      </c>
      <c r="E22" s="2" t="s">
        <v>42</v>
      </c>
      <c r="F22" s="2" t="s">
        <v>45</v>
      </c>
      <c r="G22" s="2" t="s">
        <v>11</v>
      </c>
      <c r="H22" s="2">
        <v>19</v>
      </c>
      <c r="I22" s="3"/>
      <c r="J22" s="3"/>
      <c r="K22" s="3"/>
      <c r="L22" s="3"/>
      <c r="M22" s="3"/>
      <c r="N22" s="3"/>
      <c r="O22" s="3"/>
      <c r="P22" s="3"/>
      <c r="Q22" s="3"/>
      <c r="R22" s="3"/>
      <c r="S22" s="3"/>
      <c r="T22" s="3"/>
      <c r="U22" s="3"/>
      <c r="V22" s="3"/>
      <c r="W22" s="3"/>
      <c r="X22" s="3"/>
      <c r="Y22" s="3"/>
      <c r="Z22" s="3"/>
      <c r="AA22" s="3"/>
    </row>
    <row r="23" spans="1:27" x14ac:dyDescent="0.2">
      <c r="A23" s="1" t="str">
        <f ca="1">IFERROR(__xludf.DUMMYFUNCTION("LEFT(A22, 4) &amp; TEXT(REGEXEXTRACT(A22, ""-(\d+)"") + 1, ""000"")"),"ADV-021")</f>
        <v>ADV-021</v>
      </c>
      <c r="B23" s="1" t="str">
        <f t="shared" si="0"/>
        <v>OUVIDO AGUÇADO +1 | 2</v>
      </c>
      <c r="C23" s="1" t="s">
        <v>46</v>
      </c>
      <c r="D23" s="1">
        <v>2</v>
      </c>
      <c r="E23" s="2" t="s">
        <v>30</v>
      </c>
      <c r="F23" s="2" t="s">
        <v>47</v>
      </c>
      <c r="G23" s="2" t="s">
        <v>11</v>
      </c>
      <c r="H23" s="2">
        <v>19</v>
      </c>
      <c r="I23" s="3"/>
      <c r="J23" s="3"/>
      <c r="K23" s="3"/>
      <c r="L23" s="3"/>
      <c r="M23" s="3"/>
      <c r="N23" s="3"/>
      <c r="O23" s="3"/>
      <c r="P23" s="3"/>
      <c r="Q23" s="3"/>
      <c r="R23" s="3"/>
      <c r="S23" s="3"/>
      <c r="T23" s="3"/>
      <c r="U23" s="3"/>
      <c r="V23" s="3"/>
      <c r="W23" s="3"/>
      <c r="X23" s="3"/>
      <c r="Y23" s="3"/>
      <c r="Z23" s="3"/>
      <c r="AA23" s="3"/>
    </row>
    <row r="24" spans="1:27" x14ac:dyDescent="0.2">
      <c r="A24" s="1" t="str">
        <f ca="1">IFERROR(__xludf.DUMMYFUNCTION("LEFT(A23, 4) &amp; TEXT(REGEXEXTRACT(A23, ""-(\d+)"") + 1, ""000"")"),"ADV-022")</f>
        <v>ADV-022</v>
      </c>
      <c r="B24" s="1" t="str">
        <f t="shared" si="0"/>
        <v>OUVIDO AGUÇADO +2 | 4</v>
      </c>
      <c r="C24" s="1" t="s">
        <v>48</v>
      </c>
      <c r="D24" s="1">
        <v>4</v>
      </c>
      <c r="E24" s="2" t="s">
        <v>30</v>
      </c>
      <c r="F24" s="2" t="s">
        <v>47</v>
      </c>
      <c r="G24" s="2" t="s">
        <v>11</v>
      </c>
      <c r="H24" s="2">
        <v>19</v>
      </c>
      <c r="I24" s="3"/>
      <c r="J24" s="3"/>
      <c r="K24" s="3"/>
      <c r="L24" s="3"/>
      <c r="M24" s="3"/>
      <c r="N24" s="3"/>
      <c r="O24" s="3"/>
      <c r="P24" s="3"/>
      <c r="Q24" s="3"/>
      <c r="R24" s="3"/>
      <c r="S24" s="3"/>
      <c r="T24" s="3"/>
      <c r="U24" s="3"/>
      <c r="V24" s="3"/>
      <c r="W24" s="3"/>
      <c r="X24" s="3"/>
      <c r="Y24" s="3"/>
      <c r="Z24" s="3"/>
      <c r="AA24" s="3"/>
    </row>
    <row r="25" spans="1:27" x14ac:dyDescent="0.2">
      <c r="A25" s="1" t="str">
        <f ca="1">IFERROR(__xludf.DUMMYFUNCTION("LEFT(A24, 4) &amp; TEXT(REGEXEXTRACT(A24, ""-(\d+)"") + 1, ""000"")"),"ADV-023")</f>
        <v>ADV-023</v>
      </c>
      <c r="B25" s="1" t="str">
        <f t="shared" si="0"/>
        <v>OUVIDO AGUÇADO +3 | 6</v>
      </c>
      <c r="C25" s="1" t="s">
        <v>49</v>
      </c>
      <c r="D25" s="1">
        <v>6</v>
      </c>
      <c r="E25" s="2" t="s">
        <v>30</v>
      </c>
      <c r="F25" s="2" t="s">
        <v>47</v>
      </c>
      <c r="G25" s="2" t="s">
        <v>11</v>
      </c>
      <c r="H25" s="2">
        <v>19</v>
      </c>
      <c r="I25" s="3"/>
      <c r="J25" s="3"/>
      <c r="K25" s="3"/>
      <c r="L25" s="3"/>
      <c r="M25" s="3"/>
      <c r="N25" s="3"/>
      <c r="O25" s="3"/>
      <c r="P25" s="3"/>
      <c r="Q25" s="3"/>
      <c r="R25" s="3"/>
      <c r="S25" s="3"/>
      <c r="T25" s="3"/>
      <c r="U25" s="3"/>
      <c r="V25" s="3"/>
      <c r="W25" s="3"/>
      <c r="X25" s="3"/>
      <c r="Y25" s="3"/>
      <c r="Z25" s="3"/>
      <c r="AA25" s="3"/>
    </row>
    <row r="26" spans="1:27" x14ac:dyDescent="0.2">
      <c r="A26" s="1" t="str">
        <f ca="1">IFERROR(__xludf.DUMMYFUNCTION("LEFT(A25, 4) &amp; TEXT(REGEXEXTRACT(A25, ""-(\d+)"") + 1, ""000"")"),"ADV-024")</f>
        <v>ADV-024</v>
      </c>
      <c r="B26" s="1" t="str">
        <f t="shared" si="0"/>
        <v>OUVIDO AGUÇADO +4 | 8</v>
      </c>
      <c r="C26" s="1" t="s">
        <v>50</v>
      </c>
      <c r="D26" s="1">
        <v>8</v>
      </c>
      <c r="E26" s="2" t="s">
        <v>30</v>
      </c>
      <c r="F26" s="2" t="s">
        <v>47</v>
      </c>
      <c r="G26" s="2" t="s">
        <v>11</v>
      </c>
      <c r="H26" s="2">
        <v>19</v>
      </c>
      <c r="I26" s="3"/>
      <c r="J26" s="3"/>
      <c r="K26" s="3"/>
      <c r="L26" s="3"/>
      <c r="M26" s="3"/>
      <c r="N26" s="3"/>
      <c r="O26" s="3"/>
      <c r="P26" s="3"/>
      <c r="Q26" s="3"/>
      <c r="R26" s="3"/>
      <c r="S26" s="3"/>
      <c r="T26" s="3"/>
      <c r="U26" s="3"/>
      <c r="V26" s="3"/>
      <c r="W26" s="3"/>
      <c r="X26" s="3"/>
      <c r="Y26" s="3"/>
      <c r="Z26" s="3"/>
      <c r="AA26" s="3"/>
    </row>
    <row r="27" spans="1:27" x14ac:dyDescent="0.2">
      <c r="A27" s="1" t="str">
        <f ca="1">IFERROR(__xludf.DUMMYFUNCTION("LEFT(A26, 4) &amp; TEXT(REGEXEXTRACT(A26, ""-(\d+)"") + 1, ""000"")"),"ADV-025")</f>
        <v>ADV-025</v>
      </c>
      <c r="B27" s="1" t="str">
        <f t="shared" si="0"/>
        <v>OUVIDO AGUÇADO +5 | 10</v>
      </c>
      <c r="C27" s="1" t="s">
        <v>51</v>
      </c>
      <c r="D27" s="1">
        <v>10</v>
      </c>
      <c r="E27" s="2" t="s">
        <v>30</v>
      </c>
      <c r="F27" s="2" t="s">
        <v>47</v>
      </c>
      <c r="G27" s="2" t="s">
        <v>11</v>
      </c>
      <c r="H27" s="2">
        <v>19</v>
      </c>
      <c r="I27" s="3"/>
      <c r="J27" s="3"/>
      <c r="K27" s="3"/>
      <c r="L27" s="3"/>
      <c r="M27" s="3"/>
      <c r="N27" s="3"/>
      <c r="O27" s="3"/>
      <c r="P27" s="3"/>
      <c r="Q27" s="3"/>
      <c r="R27" s="3"/>
      <c r="S27" s="3"/>
      <c r="T27" s="3"/>
      <c r="U27" s="3"/>
      <c r="V27" s="3"/>
      <c r="W27" s="3"/>
      <c r="X27" s="3"/>
      <c r="Y27" s="3"/>
      <c r="Z27" s="3"/>
      <c r="AA27" s="3"/>
    </row>
    <row r="28" spans="1:27" x14ac:dyDescent="0.2">
      <c r="A28" s="1" t="str">
        <f ca="1">IFERROR(__xludf.DUMMYFUNCTION("LEFT(A27, 4) &amp; TEXT(REGEXEXTRACT(A27, ""-(\d+)"") + 1, ""000"")"),"ADV-026")</f>
        <v>ADV-026</v>
      </c>
      <c r="B28" s="1" t="str">
        <f t="shared" si="0"/>
        <v>PALADAR/OLFATO APURADOS +1 | 2</v>
      </c>
      <c r="C28" s="1" t="s">
        <v>52</v>
      </c>
      <c r="D28" s="1">
        <v>2</v>
      </c>
      <c r="E28" s="2" t="s">
        <v>30</v>
      </c>
      <c r="F28" s="2" t="s">
        <v>53</v>
      </c>
      <c r="G28" s="2" t="s">
        <v>11</v>
      </c>
      <c r="H28" s="2">
        <v>19</v>
      </c>
      <c r="I28" s="3"/>
      <c r="J28" s="3"/>
      <c r="K28" s="3"/>
      <c r="L28" s="3"/>
      <c r="M28" s="3"/>
      <c r="N28" s="3"/>
      <c r="O28" s="3"/>
      <c r="P28" s="3"/>
      <c r="Q28" s="3"/>
      <c r="R28" s="3"/>
      <c r="S28" s="3"/>
      <c r="T28" s="3"/>
      <c r="U28" s="3"/>
      <c r="V28" s="3"/>
      <c r="W28" s="3"/>
      <c r="X28" s="3"/>
      <c r="Y28" s="3"/>
      <c r="Z28" s="3"/>
      <c r="AA28" s="3"/>
    </row>
    <row r="29" spans="1:27" x14ac:dyDescent="0.2">
      <c r="A29" s="1" t="str">
        <f ca="1">IFERROR(__xludf.DUMMYFUNCTION("LEFT(A28, 4) &amp; TEXT(REGEXEXTRACT(A28, ""-(\d+)"") + 1, ""000"")"),"ADV-027")</f>
        <v>ADV-027</v>
      </c>
      <c r="B29" s="1" t="str">
        <f t="shared" si="0"/>
        <v>PALADAR/OLFATO APURADOS +2 | 4</v>
      </c>
      <c r="C29" s="1" t="s">
        <v>54</v>
      </c>
      <c r="D29" s="1">
        <v>4</v>
      </c>
      <c r="E29" s="2" t="s">
        <v>30</v>
      </c>
      <c r="F29" s="2" t="s">
        <v>53</v>
      </c>
      <c r="G29" s="2" t="s">
        <v>11</v>
      </c>
      <c r="H29" s="2">
        <v>19</v>
      </c>
      <c r="I29" s="3"/>
      <c r="J29" s="3"/>
      <c r="K29" s="3"/>
      <c r="L29" s="3"/>
      <c r="M29" s="3"/>
      <c r="N29" s="3"/>
      <c r="O29" s="3"/>
      <c r="P29" s="3"/>
      <c r="Q29" s="3"/>
      <c r="R29" s="3"/>
      <c r="S29" s="3"/>
      <c r="T29" s="3"/>
      <c r="U29" s="3"/>
      <c r="V29" s="3"/>
      <c r="W29" s="3"/>
      <c r="X29" s="3"/>
      <c r="Y29" s="3"/>
      <c r="Z29" s="3"/>
      <c r="AA29" s="3"/>
    </row>
    <row r="30" spans="1:27" x14ac:dyDescent="0.2">
      <c r="A30" s="1" t="str">
        <f ca="1">IFERROR(__xludf.DUMMYFUNCTION("LEFT(A29, 4) &amp; TEXT(REGEXEXTRACT(A29, ""-(\d+)"") + 1, ""000"")"),"ADV-028")</f>
        <v>ADV-028</v>
      </c>
      <c r="B30" s="1" t="str">
        <f t="shared" si="0"/>
        <v>PALADAR/OLFATO APURADOS +3 | 6</v>
      </c>
      <c r="C30" s="1" t="s">
        <v>55</v>
      </c>
      <c r="D30" s="1">
        <v>6</v>
      </c>
      <c r="E30" s="2" t="s">
        <v>30</v>
      </c>
      <c r="F30" s="2" t="s">
        <v>53</v>
      </c>
      <c r="G30" s="2" t="s">
        <v>11</v>
      </c>
      <c r="H30" s="2">
        <v>19</v>
      </c>
      <c r="I30" s="3"/>
      <c r="J30" s="3"/>
      <c r="K30" s="3"/>
      <c r="L30" s="3"/>
      <c r="M30" s="3"/>
      <c r="N30" s="3"/>
      <c r="O30" s="3"/>
      <c r="P30" s="3"/>
      <c r="Q30" s="3"/>
      <c r="R30" s="3"/>
      <c r="S30" s="3"/>
      <c r="T30" s="3"/>
      <c r="U30" s="3"/>
      <c r="V30" s="3"/>
      <c r="W30" s="3"/>
      <c r="X30" s="3"/>
      <c r="Y30" s="3"/>
      <c r="Z30" s="3"/>
      <c r="AA30" s="3"/>
    </row>
    <row r="31" spans="1:27" x14ac:dyDescent="0.2">
      <c r="A31" s="1" t="str">
        <f ca="1">IFERROR(__xludf.DUMMYFUNCTION("LEFT(A30, 4) &amp; TEXT(REGEXEXTRACT(A30, ""-(\d+)"") + 1, ""000"")"),"ADV-029")</f>
        <v>ADV-029</v>
      </c>
      <c r="B31" s="1" t="str">
        <f t="shared" si="0"/>
        <v>PALADAR/OLFATO APURADOS +4 | 8</v>
      </c>
      <c r="C31" s="1" t="s">
        <v>56</v>
      </c>
      <c r="D31" s="1">
        <v>8</v>
      </c>
      <c r="E31" s="2" t="s">
        <v>30</v>
      </c>
      <c r="F31" s="2" t="s">
        <v>53</v>
      </c>
      <c r="G31" s="2" t="s">
        <v>11</v>
      </c>
      <c r="H31" s="2">
        <v>19</v>
      </c>
      <c r="I31" s="3"/>
      <c r="J31" s="3"/>
      <c r="K31" s="3"/>
      <c r="L31" s="3"/>
      <c r="M31" s="3"/>
      <c r="N31" s="3"/>
      <c r="O31" s="3"/>
      <c r="P31" s="3"/>
      <c r="Q31" s="3"/>
      <c r="R31" s="3"/>
      <c r="S31" s="3"/>
      <c r="T31" s="3"/>
      <c r="U31" s="3"/>
      <c r="V31" s="3"/>
      <c r="W31" s="3"/>
      <c r="X31" s="3"/>
      <c r="Y31" s="3"/>
      <c r="Z31" s="3"/>
      <c r="AA31" s="3"/>
    </row>
    <row r="32" spans="1:27" x14ac:dyDescent="0.2">
      <c r="A32" s="1" t="str">
        <f ca="1">IFERROR(__xludf.DUMMYFUNCTION("LEFT(A31, 4) &amp; TEXT(REGEXEXTRACT(A31, ""-(\d+)"") + 1, ""000"")"),"ADV-030")</f>
        <v>ADV-030</v>
      </c>
      <c r="B32" s="1" t="str">
        <f t="shared" si="0"/>
        <v>PALADAR/OLFATO APURADOS +5 | 10</v>
      </c>
      <c r="C32" s="1" t="s">
        <v>57</v>
      </c>
      <c r="D32" s="1">
        <v>10</v>
      </c>
      <c r="E32" s="2" t="s">
        <v>30</v>
      </c>
      <c r="F32" s="2" t="s">
        <v>53</v>
      </c>
      <c r="G32" s="2" t="s">
        <v>11</v>
      </c>
      <c r="H32" s="2">
        <v>19</v>
      </c>
      <c r="I32" s="3"/>
      <c r="J32" s="3"/>
      <c r="K32" s="3"/>
      <c r="L32" s="3"/>
      <c r="M32" s="3"/>
      <c r="N32" s="3"/>
      <c r="O32" s="3"/>
      <c r="P32" s="3"/>
      <c r="Q32" s="3"/>
      <c r="R32" s="3"/>
      <c r="S32" s="3"/>
      <c r="T32" s="3"/>
      <c r="U32" s="3"/>
      <c r="V32" s="3"/>
      <c r="W32" s="3"/>
      <c r="X32" s="3"/>
      <c r="Y32" s="3"/>
      <c r="Z32" s="3"/>
      <c r="AA32" s="3"/>
    </row>
    <row r="33" spans="1:27" x14ac:dyDescent="0.2">
      <c r="A33" s="1" t="str">
        <f ca="1">IFERROR(__xludf.DUMMYFUNCTION("LEFT(A32, 4) &amp; TEXT(REGEXEXTRACT(A32, ""-(\d+)"") + 1, ""000"")"),"ADV-031")</f>
        <v>ADV-031</v>
      </c>
      <c r="B33" s="1" t="str">
        <f t="shared" si="0"/>
        <v>PRONTIDÃO +1 | 5</v>
      </c>
      <c r="C33" s="1" t="s">
        <v>58</v>
      </c>
      <c r="D33" s="1">
        <v>5</v>
      </c>
      <c r="E33" s="2" t="s">
        <v>30</v>
      </c>
      <c r="F33" s="2" t="s">
        <v>59</v>
      </c>
      <c r="G33" s="2" t="s">
        <v>11</v>
      </c>
      <c r="H33" s="2">
        <v>19</v>
      </c>
      <c r="I33" s="3"/>
      <c r="J33" s="3"/>
      <c r="K33" s="3"/>
      <c r="L33" s="3"/>
      <c r="M33" s="3"/>
      <c r="N33" s="3"/>
      <c r="O33" s="3"/>
      <c r="P33" s="3"/>
      <c r="Q33" s="3"/>
      <c r="R33" s="3"/>
      <c r="S33" s="3"/>
      <c r="T33" s="3"/>
      <c r="U33" s="3"/>
      <c r="V33" s="3"/>
      <c r="W33" s="3"/>
      <c r="X33" s="3"/>
      <c r="Y33" s="3"/>
      <c r="Z33" s="3"/>
      <c r="AA33" s="3"/>
    </row>
    <row r="34" spans="1:27" x14ac:dyDescent="0.2">
      <c r="A34" s="1" t="str">
        <f ca="1">IFERROR(__xludf.DUMMYFUNCTION("LEFT(A33, 4) &amp; TEXT(REGEXEXTRACT(A33, ""-(\d+)"") + 1, ""000"")"),"ADV-032")</f>
        <v>ADV-032</v>
      </c>
      <c r="B34" s="1" t="str">
        <f t="shared" si="0"/>
        <v>PRONTIDÃO +2 | 10</v>
      </c>
      <c r="C34" s="1" t="s">
        <v>60</v>
      </c>
      <c r="D34" s="1">
        <v>10</v>
      </c>
      <c r="E34" s="2" t="s">
        <v>30</v>
      </c>
      <c r="F34" s="2" t="s">
        <v>59</v>
      </c>
      <c r="G34" s="2" t="s">
        <v>11</v>
      </c>
      <c r="H34" s="2">
        <v>19</v>
      </c>
      <c r="I34" s="3"/>
      <c r="J34" s="3"/>
      <c r="K34" s="3"/>
      <c r="L34" s="3"/>
      <c r="M34" s="3"/>
      <c r="N34" s="3"/>
      <c r="O34" s="3"/>
      <c r="P34" s="3"/>
      <c r="Q34" s="3"/>
      <c r="R34" s="3"/>
      <c r="S34" s="3"/>
      <c r="T34" s="3"/>
      <c r="U34" s="3"/>
      <c r="V34" s="3"/>
      <c r="W34" s="3"/>
      <c r="X34" s="3"/>
      <c r="Y34" s="3"/>
      <c r="Z34" s="3"/>
      <c r="AA34" s="3"/>
    </row>
    <row r="35" spans="1:27" x14ac:dyDescent="0.2">
      <c r="A35" s="1" t="str">
        <f ca="1">IFERROR(__xludf.DUMMYFUNCTION("LEFT(A34, 4) &amp; TEXT(REGEXEXTRACT(A34, ""-(\d+)"") + 1, ""000"")"),"ADV-033")</f>
        <v>ADV-033</v>
      </c>
      <c r="B35" s="1" t="str">
        <f t="shared" si="0"/>
        <v>PRONTIDÃO +3 | 15</v>
      </c>
      <c r="C35" s="1" t="s">
        <v>61</v>
      </c>
      <c r="D35" s="1">
        <v>15</v>
      </c>
      <c r="E35" s="2" t="s">
        <v>30</v>
      </c>
      <c r="F35" s="2" t="s">
        <v>59</v>
      </c>
      <c r="G35" s="2" t="s">
        <v>11</v>
      </c>
      <c r="H35" s="2">
        <v>19</v>
      </c>
      <c r="I35" s="3"/>
      <c r="J35" s="3"/>
      <c r="K35" s="3"/>
      <c r="L35" s="3"/>
      <c r="M35" s="3"/>
      <c r="N35" s="3"/>
      <c r="O35" s="3"/>
      <c r="P35" s="3"/>
      <c r="Q35" s="3"/>
      <c r="R35" s="3"/>
      <c r="S35" s="3"/>
      <c r="T35" s="3"/>
      <c r="U35" s="3"/>
      <c r="V35" s="3"/>
      <c r="W35" s="3"/>
      <c r="X35" s="3"/>
      <c r="Y35" s="3"/>
      <c r="Z35" s="3"/>
      <c r="AA35" s="3"/>
    </row>
    <row r="36" spans="1:27" x14ac:dyDescent="0.2">
      <c r="A36" s="1" t="str">
        <f ca="1">IFERROR(__xludf.DUMMYFUNCTION("LEFT(A35, 4) &amp; TEXT(REGEXEXTRACT(A35, ""-(\d+)"") + 1, ""000"")"),"ADV-034")</f>
        <v>ADV-034</v>
      </c>
      <c r="B36" s="1" t="str">
        <f t="shared" si="0"/>
        <v>PRONTIDÃO +4 | 20</v>
      </c>
      <c r="C36" s="1" t="s">
        <v>62</v>
      </c>
      <c r="D36" s="1">
        <v>20</v>
      </c>
      <c r="E36" s="2" t="s">
        <v>30</v>
      </c>
      <c r="F36" s="2" t="s">
        <v>59</v>
      </c>
      <c r="G36" s="2" t="s">
        <v>11</v>
      </c>
      <c r="H36" s="2">
        <v>19</v>
      </c>
      <c r="I36" s="3"/>
      <c r="J36" s="3"/>
      <c r="K36" s="3"/>
      <c r="L36" s="3"/>
      <c r="M36" s="3"/>
      <c r="N36" s="3"/>
      <c r="O36" s="3"/>
      <c r="P36" s="3"/>
      <c r="Q36" s="3"/>
      <c r="R36" s="3"/>
      <c r="S36" s="3"/>
      <c r="T36" s="3"/>
      <c r="U36" s="3"/>
      <c r="V36" s="3"/>
      <c r="W36" s="3"/>
      <c r="X36" s="3"/>
      <c r="Y36" s="3"/>
      <c r="Z36" s="3"/>
      <c r="AA36" s="3"/>
    </row>
    <row r="37" spans="1:27" x14ac:dyDescent="0.2">
      <c r="A37" s="1" t="str">
        <f ca="1">IFERROR(__xludf.DUMMYFUNCTION("LEFT(A36, 4) &amp; TEXT(REGEXEXTRACT(A36, ""-(\d+)"") + 1, ""000"")"),"ADV-035")</f>
        <v>ADV-035</v>
      </c>
      <c r="B37" s="1" t="str">
        <f t="shared" si="0"/>
        <v>PRONTIDÃO +5 | 25</v>
      </c>
      <c r="C37" s="1" t="s">
        <v>63</v>
      </c>
      <c r="D37" s="1">
        <v>25</v>
      </c>
      <c r="E37" s="2" t="s">
        <v>30</v>
      </c>
      <c r="F37" s="2" t="s">
        <v>59</v>
      </c>
      <c r="G37" s="2" t="s">
        <v>11</v>
      </c>
      <c r="H37" s="2">
        <v>19</v>
      </c>
      <c r="I37" s="3"/>
      <c r="J37" s="3"/>
      <c r="K37" s="3"/>
      <c r="L37" s="3"/>
      <c r="M37" s="3"/>
      <c r="N37" s="3"/>
      <c r="O37" s="3"/>
      <c r="P37" s="3"/>
      <c r="Q37" s="3"/>
      <c r="R37" s="3"/>
      <c r="S37" s="3"/>
      <c r="T37" s="3"/>
      <c r="U37" s="3"/>
      <c r="V37" s="3"/>
      <c r="W37" s="3"/>
      <c r="X37" s="3"/>
      <c r="Y37" s="3"/>
      <c r="Z37" s="3"/>
      <c r="AA37" s="3"/>
    </row>
    <row r="38" spans="1:27" x14ac:dyDescent="0.2">
      <c r="A38" s="1" t="str">
        <f ca="1">IFERROR(__xludf.DUMMYFUNCTION("LEFT(A37, 4) &amp; TEXT(REGEXEXTRACT(A37, ""-(\d+)"") + 1, ""000"")"),"ADV-036")</f>
        <v>ADV-036</v>
      </c>
      <c r="B38" s="1" t="str">
        <f t="shared" si="0"/>
        <v>SENSO DE DIREÇÃO | 5</v>
      </c>
      <c r="C38" s="1" t="s">
        <v>64</v>
      </c>
      <c r="D38" s="1">
        <v>5</v>
      </c>
      <c r="E38" s="2" t="s">
        <v>42</v>
      </c>
      <c r="F38" s="2" t="s">
        <v>65</v>
      </c>
      <c r="G38" s="2" t="s">
        <v>11</v>
      </c>
      <c r="H38" s="2">
        <v>19</v>
      </c>
      <c r="I38" s="3"/>
      <c r="J38" s="3"/>
      <c r="K38" s="3"/>
      <c r="L38" s="3"/>
      <c r="M38" s="3"/>
      <c r="N38" s="3"/>
      <c r="O38" s="3"/>
      <c r="P38" s="3"/>
      <c r="Q38" s="3"/>
      <c r="R38" s="3"/>
      <c r="S38" s="3"/>
      <c r="T38" s="3"/>
      <c r="U38" s="3"/>
      <c r="V38" s="3"/>
      <c r="W38" s="3"/>
      <c r="X38" s="3"/>
      <c r="Y38" s="3"/>
      <c r="Z38" s="3"/>
      <c r="AA38" s="3"/>
    </row>
    <row r="39" spans="1:27" x14ac:dyDescent="0.2">
      <c r="A39" s="1" t="str">
        <f ca="1">IFERROR(__xludf.DUMMYFUNCTION("LEFT(A38, 4) &amp; TEXT(REGEXEXTRACT(A38, ""-(\d+)"") + 1, ""000"")"),"ADV-037")</f>
        <v>ADV-037</v>
      </c>
      <c r="B39" s="1" t="str">
        <f t="shared" si="0"/>
        <v>VISÃO AGUÇADA +1 | 2</v>
      </c>
      <c r="C39" s="1" t="s">
        <v>66</v>
      </c>
      <c r="D39" s="1">
        <v>2</v>
      </c>
      <c r="E39" s="2" t="s">
        <v>30</v>
      </c>
      <c r="F39" s="2" t="s">
        <v>67</v>
      </c>
      <c r="G39" s="2" t="s">
        <v>11</v>
      </c>
      <c r="H39" s="2">
        <v>19</v>
      </c>
      <c r="I39" s="3"/>
      <c r="J39" s="3"/>
      <c r="K39" s="3"/>
      <c r="L39" s="3"/>
      <c r="M39" s="3"/>
      <c r="N39" s="3"/>
      <c r="O39" s="3"/>
      <c r="P39" s="3"/>
      <c r="Q39" s="3"/>
      <c r="R39" s="3"/>
      <c r="S39" s="3"/>
      <c r="T39" s="3"/>
      <c r="U39" s="3"/>
      <c r="V39" s="3"/>
      <c r="W39" s="3"/>
      <c r="X39" s="3"/>
      <c r="Y39" s="3"/>
      <c r="Z39" s="3"/>
      <c r="AA39" s="3"/>
    </row>
    <row r="40" spans="1:27" x14ac:dyDescent="0.2">
      <c r="A40" s="1" t="str">
        <f ca="1">IFERROR(__xludf.DUMMYFUNCTION("LEFT(A39, 4) &amp; TEXT(REGEXEXTRACT(A39, ""-(\d+)"") + 1, ""000"")"),"ADV-038")</f>
        <v>ADV-038</v>
      </c>
      <c r="B40" s="1" t="str">
        <f t="shared" si="0"/>
        <v>VISÃO AGUÇADA +2 | 4</v>
      </c>
      <c r="C40" s="1" t="s">
        <v>68</v>
      </c>
      <c r="D40" s="1">
        <v>4</v>
      </c>
      <c r="E40" s="2" t="s">
        <v>30</v>
      </c>
      <c r="F40" s="2" t="s">
        <v>67</v>
      </c>
      <c r="G40" s="2" t="s">
        <v>11</v>
      </c>
      <c r="H40" s="2">
        <v>19</v>
      </c>
      <c r="I40" s="3"/>
      <c r="J40" s="3"/>
      <c r="K40" s="3"/>
      <c r="L40" s="3"/>
      <c r="M40" s="3"/>
      <c r="N40" s="3"/>
      <c r="O40" s="3"/>
      <c r="P40" s="3"/>
      <c r="Q40" s="3"/>
      <c r="R40" s="3"/>
      <c r="S40" s="3"/>
      <c r="T40" s="3"/>
      <c r="U40" s="3"/>
      <c r="V40" s="3"/>
      <c r="W40" s="3"/>
      <c r="X40" s="3"/>
      <c r="Y40" s="3"/>
      <c r="Z40" s="3"/>
      <c r="AA40" s="3"/>
    </row>
    <row r="41" spans="1:27" x14ac:dyDescent="0.2">
      <c r="A41" s="1" t="str">
        <f ca="1">IFERROR(__xludf.DUMMYFUNCTION("LEFT(A40, 4) &amp; TEXT(REGEXEXTRACT(A40, ""-(\d+)"") + 1, ""000"")"),"ADV-039")</f>
        <v>ADV-039</v>
      </c>
      <c r="B41" s="1" t="str">
        <f t="shared" si="0"/>
        <v>VISÃO AGUÇADA +3 | 6</v>
      </c>
      <c r="C41" s="1" t="s">
        <v>69</v>
      </c>
      <c r="D41" s="1">
        <v>6</v>
      </c>
      <c r="E41" s="2" t="s">
        <v>30</v>
      </c>
      <c r="F41" s="2" t="s">
        <v>67</v>
      </c>
      <c r="G41" s="2" t="s">
        <v>11</v>
      </c>
      <c r="H41" s="2">
        <v>19</v>
      </c>
      <c r="I41" s="3"/>
      <c r="J41" s="3"/>
      <c r="K41" s="3"/>
      <c r="L41" s="3"/>
      <c r="M41" s="3"/>
      <c r="N41" s="3"/>
      <c r="O41" s="3"/>
      <c r="P41" s="3"/>
      <c r="Q41" s="3"/>
      <c r="R41" s="3"/>
      <c r="S41" s="3"/>
      <c r="T41" s="3"/>
      <c r="U41" s="3"/>
      <c r="V41" s="3"/>
      <c r="W41" s="3"/>
      <c r="X41" s="3"/>
      <c r="Y41" s="3"/>
      <c r="Z41" s="3"/>
      <c r="AA41" s="3"/>
    </row>
    <row r="42" spans="1:27" x14ac:dyDescent="0.2">
      <c r="A42" s="1" t="str">
        <f ca="1">IFERROR(__xludf.DUMMYFUNCTION("LEFT(A41, 4) &amp; TEXT(REGEXEXTRACT(A41, ""-(\d+)"") + 1, ""000"")"),"ADV-040")</f>
        <v>ADV-040</v>
      </c>
      <c r="B42" s="1" t="str">
        <f t="shared" si="0"/>
        <v>VISÃO AGUÇADA +4 | 8</v>
      </c>
      <c r="C42" s="1" t="s">
        <v>70</v>
      </c>
      <c r="D42" s="1">
        <v>8</v>
      </c>
      <c r="E42" s="2" t="s">
        <v>30</v>
      </c>
      <c r="F42" s="2" t="s">
        <v>67</v>
      </c>
      <c r="G42" s="2" t="s">
        <v>11</v>
      </c>
      <c r="H42" s="2">
        <v>19</v>
      </c>
      <c r="I42" s="3"/>
      <c r="J42" s="3"/>
      <c r="K42" s="3"/>
      <c r="L42" s="3"/>
      <c r="M42" s="3"/>
      <c r="N42" s="3"/>
      <c r="O42" s="3"/>
      <c r="P42" s="3"/>
      <c r="Q42" s="3"/>
      <c r="R42" s="3"/>
      <c r="S42" s="3"/>
      <c r="T42" s="3"/>
      <c r="U42" s="3"/>
      <c r="V42" s="3"/>
      <c r="W42" s="3"/>
      <c r="X42" s="3"/>
      <c r="Y42" s="3"/>
      <c r="Z42" s="3"/>
      <c r="AA42" s="3"/>
    </row>
    <row r="43" spans="1:27" x14ac:dyDescent="0.2">
      <c r="A43" s="1" t="str">
        <f ca="1">IFERROR(__xludf.DUMMYFUNCTION("LEFT(A42, 4) &amp; TEXT(REGEXEXTRACT(A42, ""-(\d+)"") + 1, ""000"")"),"ADV-041")</f>
        <v>ADV-041</v>
      </c>
      <c r="B43" s="1" t="str">
        <f t="shared" si="0"/>
        <v>VISÃO AGUÇADA +5 | 10</v>
      </c>
      <c r="C43" s="1" t="s">
        <v>71</v>
      </c>
      <c r="D43" s="1">
        <v>10</v>
      </c>
      <c r="E43" s="2" t="s">
        <v>30</v>
      </c>
      <c r="F43" s="2" t="s">
        <v>67</v>
      </c>
      <c r="G43" s="2" t="s">
        <v>11</v>
      </c>
      <c r="H43" s="2">
        <v>19</v>
      </c>
      <c r="I43" s="3"/>
      <c r="J43" s="3"/>
      <c r="K43" s="3"/>
      <c r="L43" s="3"/>
      <c r="M43" s="3"/>
      <c r="N43" s="3"/>
      <c r="O43" s="3"/>
      <c r="P43" s="3"/>
      <c r="Q43" s="3"/>
      <c r="R43" s="3"/>
      <c r="S43" s="3"/>
      <c r="T43" s="3"/>
      <c r="U43" s="3"/>
      <c r="V43" s="3"/>
      <c r="W43" s="3"/>
      <c r="X43" s="3"/>
      <c r="Y43" s="3"/>
      <c r="Z43" s="3"/>
      <c r="AA43" s="3"/>
    </row>
    <row r="44" spans="1:27" x14ac:dyDescent="0.2">
      <c r="A44" s="1" t="str">
        <f ca="1">IFERROR(__xludf.DUMMYFUNCTION("LEFT(A43, 4) &amp; TEXT(REGEXEXTRACT(A43, ""-(\d+)"") + 1, ""000"")"),"ADV-042")</f>
        <v>ADV-042</v>
      </c>
      <c r="B44" s="1" t="str">
        <f t="shared" si="0"/>
        <v>BOM SENSO | 10</v>
      </c>
      <c r="C44" s="1" t="s">
        <v>72</v>
      </c>
      <c r="D44" s="1">
        <v>10</v>
      </c>
      <c r="E44" s="2" t="s">
        <v>42</v>
      </c>
      <c r="F44" s="2" t="s">
        <v>73</v>
      </c>
      <c r="G44" s="2" t="s">
        <v>11</v>
      </c>
      <c r="H44" s="2">
        <v>20</v>
      </c>
      <c r="I44" s="3"/>
      <c r="J44" s="3"/>
      <c r="K44" s="3"/>
      <c r="L44" s="3"/>
      <c r="M44" s="3"/>
      <c r="N44" s="3"/>
      <c r="O44" s="3"/>
      <c r="P44" s="3"/>
      <c r="Q44" s="3"/>
      <c r="R44" s="3"/>
      <c r="S44" s="3"/>
      <c r="T44" s="3"/>
      <c r="U44" s="3"/>
      <c r="V44" s="3"/>
      <c r="W44" s="3"/>
      <c r="X44" s="3"/>
      <c r="Y44" s="3"/>
      <c r="Z44" s="3"/>
      <c r="AA44" s="3"/>
    </row>
    <row r="45" spans="1:27" x14ac:dyDescent="0.2">
      <c r="A45" s="1" t="str">
        <f ca="1">IFERROR(__xludf.DUMMYFUNCTION("LEFT(A44, 4) &amp; TEXT(REGEXEXTRACT(A44, ""-(\d+)"") + 1, ""000"")"),"ADV-043")</f>
        <v>ADV-043</v>
      </c>
      <c r="B45" s="1" t="str">
        <f t="shared" si="0"/>
        <v>EMPATIA | 15</v>
      </c>
      <c r="C45" s="1" t="s">
        <v>74</v>
      </c>
      <c r="D45" s="1">
        <v>15</v>
      </c>
      <c r="E45" s="2" t="s">
        <v>42</v>
      </c>
      <c r="F45" s="2" t="s">
        <v>75</v>
      </c>
      <c r="G45" s="2" t="s">
        <v>11</v>
      </c>
      <c r="H45" s="2">
        <v>20</v>
      </c>
      <c r="I45" s="3"/>
      <c r="J45" s="3"/>
      <c r="K45" s="3"/>
      <c r="L45" s="3"/>
      <c r="M45" s="3"/>
      <c r="N45" s="3"/>
      <c r="O45" s="3"/>
      <c r="P45" s="3"/>
      <c r="Q45" s="3"/>
      <c r="R45" s="3"/>
      <c r="S45" s="3"/>
      <c r="T45" s="3"/>
      <c r="U45" s="3"/>
      <c r="V45" s="3"/>
      <c r="W45" s="3"/>
      <c r="X45" s="3"/>
      <c r="Y45" s="3"/>
      <c r="Z45" s="3"/>
      <c r="AA45" s="3"/>
    </row>
    <row r="46" spans="1:27" x14ac:dyDescent="0.2">
      <c r="A46" s="1" t="str">
        <f ca="1">IFERROR(__xludf.DUMMYFUNCTION("LEFT(A45, 4) &amp; TEXT(REGEXEXTRACT(A45, ""-(\d+)"") + 1, ""000"")"),"ADV-044")</f>
        <v>ADV-044</v>
      </c>
      <c r="B46" s="1" t="str">
        <f t="shared" si="0"/>
        <v>FACILIDADE PARA LINGUAS +1 | 2</v>
      </c>
      <c r="C46" s="1" t="s">
        <v>76</v>
      </c>
      <c r="D46" s="1">
        <v>2</v>
      </c>
      <c r="E46" s="2" t="s">
        <v>42</v>
      </c>
      <c r="F46" s="2" t="s">
        <v>77</v>
      </c>
      <c r="G46" s="2" t="s">
        <v>11</v>
      </c>
      <c r="H46" s="2">
        <v>20</v>
      </c>
      <c r="I46" s="3"/>
      <c r="J46" s="3"/>
      <c r="K46" s="3"/>
      <c r="L46" s="3"/>
      <c r="M46" s="3"/>
      <c r="N46" s="3"/>
      <c r="O46" s="3"/>
      <c r="P46" s="3"/>
      <c r="Q46" s="3"/>
      <c r="R46" s="3"/>
      <c r="S46" s="3"/>
      <c r="T46" s="3"/>
      <c r="U46" s="3"/>
      <c r="V46" s="3"/>
      <c r="W46" s="3"/>
      <c r="X46" s="3"/>
      <c r="Y46" s="3"/>
      <c r="Z46" s="3"/>
      <c r="AA46" s="3"/>
    </row>
    <row r="47" spans="1:27" x14ac:dyDescent="0.2">
      <c r="A47" s="1" t="str">
        <f ca="1">IFERROR(__xludf.DUMMYFUNCTION("LEFT(A46, 4) &amp; TEXT(REGEXEXTRACT(A46, ""-(\d+)"") + 1, ""000"")"),"ADV-045")</f>
        <v>ADV-045</v>
      </c>
      <c r="B47" s="1" t="str">
        <f t="shared" si="0"/>
        <v>FACILIDADE PARA LINGUAS +2 | 4</v>
      </c>
      <c r="C47" s="1" t="s">
        <v>78</v>
      </c>
      <c r="D47" s="1">
        <v>4</v>
      </c>
      <c r="E47" s="2" t="s">
        <v>42</v>
      </c>
      <c r="F47" s="2" t="s">
        <v>77</v>
      </c>
      <c r="G47" s="2" t="s">
        <v>11</v>
      </c>
      <c r="H47" s="2">
        <v>20</v>
      </c>
      <c r="I47" s="3"/>
      <c r="J47" s="3"/>
      <c r="K47" s="3"/>
      <c r="L47" s="3"/>
      <c r="M47" s="3"/>
      <c r="N47" s="3"/>
      <c r="O47" s="3"/>
      <c r="P47" s="3"/>
      <c r="Q47" s="3"/>
      <c r="R47" s="3"/>
      <c r="S47" s="3"/>
      <c r="T47" s="3"/>
      <c r="U47" s="3"/>
      <c r="V47" s="3"/>
      <c r="W47" s="3"/>
      <c r="X47" s="3"/>
      <c r="Y47" s="3"/>
      <c r="Z47" s="3"/>
      <c r="AA47" s="3"/>
    </row>
    <row r="48" spans="1:27" x14ac:dyDescent="0.2">
      <c r="A48" s="1" t="str">
        <f ca="1">IFERROR(__xludf.DUMMYFUNCTION("LEFT(A47, 4) &amp; TEXT(REGEXEXTRACT(A47, ""-(\d+)"") + 1, ""000"")"),"ADV-046")</f>
        <v>ADV-046</v>
      </c>
      <c r="B48" s="1" t="str">
        <f t="shared" si="0"/>
        <v>FACILIDADE PARA LINGUAS +3 | 6</v>
      </c>
      <c r="C48" s="1" t="s">
        <v>79</v>
      </c>
      <c r="D48" s="1">
        <v>6</v>
      </c>
      <c r="E48" s="2" t="s">
        <v>42</v>
      </c>
      <c r="F48" s="2" t="s">
        <v>77</v>
      </c>
      <c r="G48" s="2" t="s">
        <v>11</v>
      </c>
      <c r="H48" s="2">
        <v>20</v>
      </c>
      <c r="I48" s="3"/>
      <c r="J48" s="3"/>
      <c r="K48" s="3"/>
      <c r="L48" s="3"/>
      <c r="M48" s="3"/>
      <c r="N48" s="3"/>
      <c r="O48" s="3"/>
      <c r="P48" s="3"/>
      <c r="Q48" s="3"/>
      <c r="R48" s="3"/>
      <c r="S48" s="3"/>
      <c r="T48" s="3"/>
      <c r="U48" s="3"/>
      <c r="V48" s="3"/>
      <c r="W48" s="3"/>
      <c r="X48" s="3"/>
      <c r="Y48" s="3"/>
      <c r="Z48" s="3"/>
      <c r="AA48" s="3"/>
    </row>
    <row r="49" spans="1:27" x14ac:dyDescent="0.2">
      <c r="A49" s="1" t="str">
        <f ca="1">IFERROR(__xludf.DUMMYFUNCTION("LEFT(A48, 4) &amp; TEXT(REGEXEXTRACT(A48, ""-(\d+)"") + 1, ""000"")"),"ADV-047")</f>
        <v>ADV-047</v>
      </c>
      <c r="B49" s="1" t="str">
        <f t="shared" si="0"/>
        <v>FACILIDADE PARA LINGUAS +4 | 8</v>
      </c>
      <c r="C49" s="1" t="s">
        <v>80</v>
      </c>
      <c r="D49" s="1">
        <v>8</v>
      </c>
      <c r="E49" s="2" t="s">
        <v>42</v>
      </c>
      <c r="F49" s="2" t="s">
        <v>77</v>
      </c>
      <c r="G49" s="2" t="s">
        <v>11</v>
      </c>
      <c r="H49" s="2">
        <v>20</v>
      </c>
      <c r="I49" s="3"/>
      <c r="J49" s="3"/>
      <c r="K49" s="3"/>
      <c r="L49" s="3"/>
      <c r="M49" s="3"/>
      <c r="N49" s="3"/>
      <c r="O49" s="3"/>
      <c r="P49" s="3"/>
      <c r="Q49" s="3"/>
      <c r="R49" s="3"/>
      <c r="S49" s="3"/>
      <c r="T49" s="3"/>
      <c r="U49" s="3"/>
      <c r="V49" s="3"/>
      <c r="W49" s="3"/>
      <c r="X49" s="3"/>
      <c r="Y49" s="3"/>
      <c r="Z49" s="3"/>
      <c r="AA49" s="3"/>
    </row>
    <row r="50" spans="1:27" x14ac:dyDescent="0.2">
      <c r="A50" s="1" t="str">
        <f ca="1">IFERROR(__xludf.DUMMYFUNCTION("LEFT(A49, 4) &amp; TEXT(REGEXEXTRACT(A49, ""-(\d+)"") + 1, ""000"")"),"ADV-048")</f>
        <v>ADV-048</v>
      </c>
      <c r="B50" s="1" t="str">
        <f t="shared" si="0"/>
        <v>FACILIDADE PARA LINGUAS +5 | 10</v>
      </c>
      <c r="C50" s="1" t="s">
        <v>81</v>
      </c>
      <c r="D50" s="1">
        <v>10</v>
      </c>
      <c r="E50" s="2" t="s">
        <v>42</v>
      </c>
      <c r="F50" s="2" t="s">
        <v>77</v>
      </c>
      <c r="G50" s="2" t="s">
        <v>11</v>
      </c>
      <c r="H50" s="2">
        <v>20</v>
      </c>
      <c r="I50" s="3"/>
      <c r="J50" s="3"/>
      <c r="K50" s="3"/>
      <c r="L50" s="3"/>
      <c r="M50" s="3"/>
      <c r="N50" s="3"/>
      <c r="O50" s="3"/>
      <c r="P50" s="3"/>
      <c r="Q50" s="3"/>
      <c r="R50" s="3"/>
      <c r="S50" s="3"/>
      <c r="T50" s="3"/>
      <c r="U50" s="3"/>
      <c r="V50" s="3"/>
      <c r="W50" s="3"/>
      <c r="X50" s="3"/>
      <c r="Y50" s="3"/>
      <c r="Z50" s="3"/>
      <c r="AA50" s="3"/>
    </row>
    <row r="51" spans="1:27" x14ac:dyDescent="0.2">
      <c r="A51" s="1" t="str">
        <f ca="1">IFERROR(__xludf.DUMMYFUNCTION("LEFT(A50, 4) &amp; TEXT(REGEXEXTRACT(A50, ""-(\d+)"") + 1, ""000"")"),"ADV-049")</f>
        <v>ADV-049</v>
      </c>
      <c r="B51" s="1" t="str">
        <f t="shared" si="0"/>
        <v>HIPOALGIA | 10</v>
      </c>
      <c r="C51" s="1" t="s">
        <v>82</v>
      </c>
      <c r="D51" s="1">
        <v>10</v>
      </c>
      <c r="E51" s="2" t="s">
        <v>30</v>
      </c>
      <c r="F51" s="2" t="s">
        <v>83</v>
      </c>
      <c r="G51" s="2" t="s">
        <v>11</v>
      </c>
      <c r="H51" s="2">
        <v>20</v>
      </c>
      <c r="I51" s="3"/>
      <c r="J51" s="3"/>
      <c r="K51" s="3"/>
      <c r="L51" s="3"/>
      <c r="M51" s="3"/>
      <c r="N51" s="3"/>
      <c r="O51" s="3"/>
      <c r="P51" s="3"/>
      <c r="Q51" s="3"/>
      <c r="R51" s="3"/>
      <c r="S51" s="3"/>
      <c r="T51" s="3"/>
      <c r="U51" s="3"/>
      <c r="V51" s="3"/>
      <c r="W51" s="3"/>
      <c r="X51" s="3"/>
      <c r="Y51" s="3"/>
      <c r="Z51" s="3"/>
      <c r="AA51" s="3"/>
    </row>
    <row r="52" spans="1:27" x14ac:dyDescent="0.2">
      <c r="A52" s="1" t="str">
        <f ca="1">IFERROR(__xludf.DUMMYFUNCTION("LEFT(A51, 4) &amp; TEXT(REGEXEXTRACT(A51, ""-(\d+)"") + 1, ""000"")"),"ADV-050")</f>
        <v>ADV-050</v>
      </c>
      <c r="B52" s="1" t="str">
        <f t="shared" si="0"/>
        <v>IMUNIDADE | 10</v>
      </c>
      <c r="C52" s="1" t="s">
        <v>84</v>
      </c>
      <c r="D52" s="1">
        <v>10</v>
      </c>
      <c r="E52" s="2" t="s">
        <v>30</v>
      </c>
      <c r="F52" s="2" t="s">
        <v>85</v>
      </c>
      <c r="G52" s="2" t="s">
        <v>11</v>
      </c>
      <c r="H52" s="2">
        <v>20</v>
      </c>
      <c r="I52" s="3"/>
      <c r="J52" s="3"/>
      <c r="K52" s="3"/>
      <c r="L52" s="3"/>
      <c r="M52" s="3"/>
      <c r="N52" s="3"/>
      <c r="O52" s="3"/>
      <c r="P52" s="3"/>
      <c r="Q52" s="3"/>
      <c r="R52" s="3"/>
      <c r="S52" s="3"/>
      <c r="T52" s="3"/>
      <c r="U52" s="3"/>
      <c r="V52" s="3"/>
      <c r="W52" s="3"/>
      <c r="X52" s="3"/>
      <c r="Y52" s="3"/>
      <c r="Z52" s="3"/>
      <c r="AA52" s="3"/>
    </row>
    <row r="53" spans="1:27" x14ac:dyDescent="0.2">
      <c r="A53" s="1" t="str">
        <f ca="1">IFERROR(__xludf.DUMMYFUNCTION("LEFT(A52, 4) &amp; TEXT(REGEXEXTRACT(A52, ""-(\d+)"") + 1, ""000"")"),"ADV-051")</f>
        <v>ADV-051</v>
      </c>
      <c r="B53" s="1" t="str">
        <f t="shared" si="0"/>
        <v>INTUIÇÃO | 15</v>
      </c>
      <c r="C53" s="1" t="s">
        <v>86</v>
      </c>
      <c r="D53" s="1">
        <v>15</v>
      </c>
      <c r="E53" s="2" t="s">
        <v>42</v>
      </c>
      <c r="F53" s="2" t="s">
        <v>87</v>
      </c>
      <c r="G53" s="2" t="s">
        <v>11</v>
      </c>
      <c r="H53" s="2">
        <v>20</v>
      </c>
      <c r="I53" s="3"/>
      <c r="J53" s="3"/>
      <c r="K53" s="3"/>
      <c r="L53" s="3"/>
      <c r="M53" s="3"/>
      <c r="N53" s="3"/>
      <c r="O53" s="3"/>
      <c r="P53" s="3"/>
      <c r="Q53" s="3"/>
      <c r="R53" s="3"/>
      <c r="S53" s="3"/>
      <c r="T53" s="3"/>
      <c r="U53" s="3"/>
      <c r="V53" s="3"/>
      <c r="W53" s="3"/>
      <c r="X53" s="3"/>
      <c r="Y53" s="3"/>
      <c r="Z53" s="3"/>
      <c r="AA53" s="3"/>
    </row>
    <row r="54" spans="1:27" x14ac:dyDescent="0.2">
      <c r="A54" s="1" t="str">
        <f ca="1">IFERROR(__xludf.DUMMYFUNCTION("LEFT(A53, 4) &amp; TEXT(REGEXEXTRACT(A53, ""-(\d+)"") + 1, ""000"")"),"ADV-052")</f>
        <v>ADV-052</v>
      </c>
      <c r="B54" s="1" t="str">
        <f t="shared" si="0"/>
        <v>MEMORIA EIDÉTICA PARCIAL | 30</v>
      </c>
      <c r="C54" s="1" t="s">
        <v>88</v>
      </c>
      <c r="D54" s="1">
        <v>30</v>
      </c>
      <c r="E54" s="2" t="s">
        <v>42</v>
      </c>
      <c r="F54" s="2" t="s">
        <v>89</v>
      </c>
      <c r="G54" s="2" t="s">
        <v>11</v>
      </c>
      <c r="H54" s="2">
        <v>20</v>
      </c>
      <c r="I54" s="3"/>
      <c r="J54" s="3"/>
      <c r="K54" s="3"/>
      <c r="L54" s="3"/>
      <c r="M54" s="3"/>
      <c r="N54" s="3"/>
      <c r="O54" s="3"/>
      <c r="P54" s="3"/>
      <c r="Q54" s="3"/>
      <c r="R54" s="3"/>
      <c r="S54" s="3"/>
      <c r="T54" s="3"/>
      <c r="U54" s="3"/>
      <c r="V54" s="3"/>
      <c r="W54" s="3"/>
      <c r="X54" s="3"/>
      <c r="Y54" s="3"/>
      <c r="Z54" s="3"/>
      <c r="AA54" s="3"/>
    </row>
    <row r="55" spans="1:27" x14ac:dyDescent="0.2">
      <c r="A55" s="1" t="str">
        <f ca="1">IFERROR(__xludf.DUMMYFUNCTION("LEFT(A54, 4) &amp; TEXT(REGEXEXTRACT(A54, ""-(\d+)"") + 1, ""000"")"),"ADV-053")</f>
        <v>ADV-053</v>
      </c>
      <c r="B55" s="1" t="str">
        <f t="shared" si="0"/>
        <v>MEMORIA EIDÉTICA TOTAL | 60</v>
      </c>
      <c r="C55" s="1" t="s">
        <v>90</v>
      </c>
      <c r="D55" s="1">
        <v>60</v>
      </c>
      <c r="E55" s="2" t="s">
        <v>42</v>
      </c>
      <c r="F55" s="2" t="s">
        <v>91</v>
      </c>
      <c r="G55" s="2" t="s">
        <v>11</v>
      </c>
      <c r="H55" s="2">
        <v>20</v>
      </c>
      <c r="I55" s="3"/>
      <c r="J55" s="3"/>
      <c r="K55" s="3"/>
      <c r="L55" s="3"/>
      <c r="M55" s="3"/>
      <c r="N55" s="3"/>
      <c r="O55" s="3"/>
      <c r="P55" s="3"/>
      <c r="Q55" s="3"/>
      <c r="R55" s="3"/>
      <c r="S55" s="3"/>
      <c r="T55" s="3"/>
      <c r="U55" s="3"/>
      <c r="V55" s="3"/>
      <c r="W55" s="3"/>
      <c r="X55" s="3"/>
      <c r="Y55" s="3"/>
      <c r="Z55" s="3"/>
      <c r="AA55" s="3"/>
    </row>
    <row r="56" spans="1:27" x14ac:dyDescent="0.2">
      <c r="A56" s="1" t="str">
        <f ca="1">IFERROR(__xludf.DUMMYFUNCTION("LEFT(A55, 4) &amp; TEXT(REGEXEXTRACT(A55, ""-(\d+)"") + 1, ""000"")"),"ADV-054")</f>
        <v>ADV-054</v>
      </c>
      <c r="B56" s="1" t="str">
        <f t="shared" si="0"/>
        <v>NOÇÃO DO PERIGO | 15</v>
      </c>
      <c r="C56" s="1" t="s">
        <v>92</v>
      </c>
      <c r="D56" s="1">
        <v>15</v>
      </c>
      <c r="E56" s="2" t="s">
        <v>42</v>
      </c>
      <c r="F56" s="2" t="s">
        <v>93</v>
      </c>
      <c r="G56" s="2" t="s">
        <v>11</v>
      </c>
      <c r="H56" s="2">
        <v>20</v>
      </c>
      <c r="I56" s="3"/>
      <c r="J56" s="3"/>
      <c r="K56" s="3"/>
      <c r="L56" s="3"/>
      <c r="M56" s="3"/>
      <c r="N56" s="3"/>
      <c r="O56" s="3"/>
      <c r="P56" s="3"/>
      <c r="Q56" s="3"/>
      <c r="R56" s="3"/>
      <c r="S56" s="3"/>
      <c r="T56" s="3"/>
      <c r="U56" s="3"/>
      <c r="V56" s="3"/>
      <c r="W56" s="3"/>
      <c r="X56" s="3"/>
      <c r="Y56" s="3"/>
      <c r="Z56" s="3"/>
      <c r="AA56" s="3"/>
    </row>
    <row r="57" spans="1:27" x14ac:dyDescent="0.2">
      <c r="A57" s="1" t="str">
        <f ca="1">IFERROR(__xludf.DUMMYFUNCTION("LEFT(A56, 4) &amp; TEXT(REGEXEXTRACT(A56, ""-(\d+)"") + 1, ""000"")"),"ADV-055")</f>
        <v>ADV-055</v>
      </c>
      <c r="B57" s="1" t="str">
        <f t="shared" si="0"/>
        <v>REFLEXOS EM COMBATE | 15</v>
      </c>
      <c r="C57" s="1" t="s">
        <v>94</v>
      </c>
      <c r="D57" s="1">
        <v>15</v>
      </c>
      <c r="E57" s="2" t="s">
        <v>30</v>
      </c>
      <c r="F57" s="2" t="s">
        <v>95</v>
      </c>
      <c r="G57" s="2" t="s">
        <v>11</v>
      </c>
      <c r="H57" s="2">
        <v>20</v>
      </c>
      <c r="I57" s="3"/>
      <c r="J57" s="3"/>
      <c r="K57" s="3"/>
      <c r="L57" s="3"/>
      <c r="M57" s="3"/>
      <c r="N57" s="3"/>
      <c r="O57" s="3"/>
      <c r="P57" s="3"/>
      <c r="Q57" s="3"/>
      <c r="R57" s="3"/>
      <c r="S57" s="3"/>
      <c r="T57" s="3"/>
      <c r="U57" s="3"/>
      <c r="V57" s="3"/>
      <c r="W57" s="3"/>
      <c r="X57" s="3"/>
      <c r="Y57" s="3"/>
      <c r="Z57" s="3"/>
      <c r="AA57" s="3"/>
    </row>
    <row r="58" spans="1:27" x14ac:dyDescent="0.2">
      <c r="A58" s="1" t="str">
        <f ca="1">IFERROR(__xludf.DUMMYFUNCTION("LEFT(A57, 4) &amp; TEXT(REGEXEXTRACT(A57, ""-(\d+)"") + 1, ""000"")"),"ADV-056")</f>
        <v>ADV-056</v>
      </c>
      <c r="B58" s="1" t="str">
        <f t="shared" si="0"/>
        <v>ULTRA-FLEXIBILIDADE DAS JUNTAS | 5</v>
      </c>
      <c r="C58" s="1" t="s">
        <v>96</v>
      </c>
      <c r="D58" s="1">
        <v>5</v>
      </c>
      <c r="E58" s="2" t="s">
        <v>30</v>
      </c>
      <c r="F58" s="2" t="s">
        <v>97</v>
      </c>
      <c r="G58" s="2" t="s">
        <v>11</v>
      </c>
      <c r="H58" s="2">
        <v>20</v>
      </c>
      <c r="I58" s="3"/>
      <c r="J58" s="3"/>
      <c r="K58" s="3"/>
      <c r="L58" s="3"/>
      <c r="M58" s="3"/>
      <c r="N58" s="3"/>
      <c r="O58" s="3"/>
      <c r="P58" s="3"/>
      <c r="Q58" s="3"/>
      <c r="R58" s="3"/>
      <c r="S58" s="3"/>
      <c r="T58" s="3"/>
      <c r="U58" s="3"/>
      <c r="V58" s="3"/>
      <c r="W58" s="3"/>
      <c r="X58" s="3"/>
      <c r="Y58" s="3"/>
      <c r="Z58" s="3"/>
      <c r="AA58" s="3"/>
    </row>
    <row r="59" spans="1:27" x14ac:dyDescent="0.2">
      <c r="A59" s="1" t="str">
        <f ca="1">IFERROR(__xludf.DUMMYFUNCTION("LEFT(A58, 4) &amp; TEXT(REGEXEXTRACT(A58, ""-(\d+)"") + 1, ""000"")"),"ADV-057")</f>
        <v>ADV-057</v>
      </c>
      <c r="B59" s="1" t="str">
        <f t="shared" si="0"/>
        <v>ABASCANTO +1 | 2</v>
      </c>
      <c r="C59" s="1" t="s">
        <v>98</v>
      </c>
      <c r="D59" s="1">
        <v>2</v>
      </c>
      <c r="E59" s="2" t="s">
        <v>99</v>
      </c>
      <c r="F59" s="2" t="s">
        <v>100</v>
      </c>
      <c r="G59" s="2" t="s">
        <v>11</v>
      </c>
      <c r="H59" s="2">
        <v>21</v>
      </c>
      <c r="I59" s="3"/>
      <c r="J59" s="3"/>
      <c r="K59" s="3"/>
      <c r="L59" s="3"/>
      <c r="M59" s="3"/>
      <c r="N59" s="3"/>
      <c r="O59" s="3"/>
      <c r="P59" s="3"/>
      <c r="Q59" s="3"/>
      <c r="R59" s="3"/>
      <c r="S59" s="3"/>
      <c r="T59" s="3"/>
      <c r="U59" s="3"/>
      <c r="V59" s="3"/>
      <c r="W59" s="3"/>
      <c r="X59" s="3"/>
      <c r="Y59" s="3"/>
      <c r="Z59" s="3"/>
      <c r="AA59" s="3"/>
    </row>
    <row r="60" spans="1:27" x14ac:dyDescent="0.2">
      <c r="A60" s="1" t="str">
        <f ca="1">IFERROR(__xludf.DUMMYFUNCTION("LEFT(A59, 4) &amp; TEXT(REGEXEXTRACT(A59, ""-(\d+)"") + 1, ""000"")"),"ADV-058")</f>
        <v>ADV-058</v>
      </c>
      <c r="B60" s="1" t="str">
        <f t="shared" si="0"/>
        <v>ABASCANTO +2 | 4</v>
      </c>
      <c r="C60" s="1" t="s">
        <v>101</v>
      </c>
      <c r="D60" s="1">
        <v>4</v>
      </c>
      <c r="E60" s="2" t="s">
        <v>99</v>
      </c>
      <c r="F60" s="2" t="s">
        <v>100</v>
      </c>
      <c r="G60" s="2" t="s">
        <v>11</v>
      </c>
      <c r="H60" s="2">
        <v>21</v>
      </c>
      <c r="I60" s="3"/>
      <c r="J60" s="3"/>
      <c r="K60" s="3"/>
      <c r="L60" s="3"/>
      <c r="M60" s="3"/>
      <c r="N60" s="3"/>
      <c r="O60" s="3"/>
      <c r="P60" s="3"/>
      <c r="Q60" s="3"/>
      <c r="R60" s="3"/>
      <c r="S60" s="3"/>
      <c r="T60" s="3"/>
      <c r="U60" s="3"/>
      <c r="V60" s="3"/>
      <c r="W60" s="3"/>
      <c r="X60" s="3"/>
      <c r="Y60" s="3"/>
      <c r="Z60" s="3"/>
      <c r="AA60" s="3"/>
    </row>
    <row r="61" spans="1:27" x14ac:dyDescent="0.2">
      <c r="A61" s="1" t="str">
        <f ca="1">IFERROR(__xludf.DUMMYFUNCTION("LEFT(A60, 4) &amp; TEXT(REGEXEXTRACT(A60, ""-(\d+)"") + 1, ""000"")"),"ADV-059")</f>
        <v>ADV-059</v>
      </c>
      <c r="B61" s="1" t="str">
        <f t="shared" si="0"/>
        <v>ABASCANTO +3 | 6</v>
      </c>
      <c r="C61" s="1" t="s">
        <v>102</v>
      </c>
      <c r="D61" s="1">
        <v>6</v>
      </c>
      <c r="E61" s="2" t="s">
        <v>99</v>
      </c>
      <c r="F61" s="2" t="s">
        <v>100</v>
      </c>
      <c r="G61" s="2" t="s">
        <v>11</v>
      </c>
      <c r="H61" s="2">
        <v>21</v>
      </c>
      <c r="I61" s="3"/>
      <c r="J61" s="3"/>
      <c r="K61" s="3"/>
      <c r="L61" s="3"/>
      <c r="M61" s="3"/>
      <c r="N61" s="3"/>
      <c r="O61" s="3"/>
      <c r="P61" s="3"/>
      <c r="Q61" s="3"/>
      <c r="R61" s="3"/>
      <c r="S61" s="3"/>
      <c r="T61" s="3"/>
      <c r="U61" s="3"/>
      <c r="V61" s="3"/>
      <c r="W61" s="3"/>
      <c r="X61" s="3"/>
      <c r="Y61" s="3"/>
      <c r="Z61" s="3"/>
      <c r="AA61" s="3"/>
    </row>
    <row r="62" spans="1:27" x14ac:dyDescent="0.2">
      <c r="A62" s="1" t="str">
        <f ca="1">IFERROR(__xludf.DUMMYFUNCTION("LEFT(A61, 4) &amp; TEXT(REGEXEXTRACT(A61, ""-(\d+)"") + 1, ""000"")"),"ADV-060")</f>
        <v>ADV-060</v>
      </c>
      <c r="B62" s="1" t="str">
        <f t="shared" si="0"/>
        <v>ABASCANTO +4 | 8</v>
      </c>
      <c r="C62" s="1" t="s">
        <v>103</v>
      </c>
      <c r="D62" s="1">
        <v>8</v>
      </c>
      <c r="E62" s="2" t="s">
        <v>99</v>
      </c>
      <c r="F62" s="2" t="s">
        <v>100</v>
      </c>
      <c r="G62" s="2" t="s">
        <v>11</v>
      </c>
      <c r="H62" s="2">
        <v>21</v>
      </c>
      <c r="I62" s="3"/>
      <c r="J62" s="3"/>
      <c r="K62" s="3"/>
      <c r="L62" s="3"/>
      <c r="M62" s="3"/>
      <c r="N62" s="3"/>
      <c r="O62" s="3"/>
      <c r="P62" s="3"/>
      <c r="Q62" s="3"/>
      <c r="R62" s="3"/>
      <c r="S62" s="3"/>
      <c r="T62" s="3"/>
      <c r="U62" s="3"/>
      <c r="V62" s="3"/>
      <c r="W62" s="3"/>
      <c r="X62" s="3"/>
      <c r="Y62" s="3"/>
      <c r="Z62" s="3"/>
      <c r="AA62" s="3"/>
    </row>
    <row r="63" spans="1:27" x14ac:dyDescent="0.2">
      <c r="A63" s="1" t="str">
        <f ca="1">IFERROR(__xludf.DUMMYFUNCTION("LEFT(A62, 4) &amp; TEXT(REGEXEXTRACT(A62, ""-(\d+)"") + 1, ""000"")"),"ADV-061")</f>
        <v>ADV-061</v>
      </c>
      <c r="B63" s="1" t="str">
        <f t="shared" si="0"/>
        <v>ABASCANTO +5 | 10</v>
      </c>
      <c r="C63" s="1" t="s">
        <v>104</v>
      </c>
      <c r="D63" s="1">
        <v>10</v>
      </c>
      <c r="E63" s="2" t="s">
        <v>99</v>
      </c>
      <c r="F63" s="2" t="s">
        <v>100</v>
      </c>
      <c r="G63" s="2" t="s">
        <v>11</v>
      </c>
      <c r="H63" s="2">
        <v>21</v>
      </c>
      <c r="I63" s="3"/>
      <c r="J63" s="3"/>
      <c r="K63" s="3"/>
      <c r="L63" s="3"/>
      <c r="M63" s="3"/>
      <c r="N63" s="3"/>
      <c r="O63" s="3"/>
      <c r="P63" s="3"/>
      <c r="Q63" s="3"/>
      <c r="R63" s="3"/>
      <c r="S63" s="3"/>
      <c r="T63" s="3"/>
      <c r="U63" s="3"/>
      <c r="V63" s="3"/>
      <c r="W63" s="3"/>
      <c r="X63" s="3"/>
      <c r="Y63" s="3"/>
      <c r="Z63" s="3"/>
      <c r="AA63" s="3"/>
    </row>
    <row r="64" spans="1:27" x14ac:dyDescent="0.2">
      <c r="A64" s="1" t="str">
        <f ca="1">IFERROR(__xludf.DUMMYFUNCTION("LEFT(A63, 4) &amp; TEXT(REGEXEXTRACT(A63, ""-(\d+)"") + 1, ""000"")"),"ADV-062")</f>
        <v>ADV-062</v>
      </c>
      <c r="B64" s="1" t="str">
        <f t="shared" si="0"/>
        <v>ALFABETIZADO | 10</v>
      </c>
      <c r="C64" s="1" t="s">
        <v>105</v>
      </c>
      <c r="D64" s="1">
        <v>10</v>
      </c>
      <c r="E64" s="2" t="s">
        <v>42</v>
      </c>
      <c r="F64" s="2" t="s">
        <v>106</v>
      </c>
      <c r="G64" s="2" t="s">
        <v>11</v>
      </c>
      <c r="H64" s="2">
        <v>21</v>
      </c>
      <c r="I64" s="3"/>
      <c r="J64" s="3"/>
      <c r="K64" s="3"/>
      <c r="L64" s="3"/>
      <c r="M64" s="3"/>
      <c r="N64" s="3"/>
      <c r="O64" s="3"/>
      <c r="P64" s="3"/>
      <c r="Q64" s="3"/>
      <c r="R64" s="3"/>
      <c r="S64" s="3"/>
      <c r="T64" s="3"/>
      <c r="U64" s="3"/>
      <c r="V64" s="3"/>
      <c r="W64" s="3"/>
      <c r="X64" s="3"/>
      <c r="Y64" s="3"/>
      <c r="Z64" s="3"/>
      <c r="AA64" s="3"/>
    </row>
    <row r="65" spans="1:27" x14ac:dyDescent="0.2">
      <c r="A65" s="1" t="str">
        <f ca="1">IFERROR(__xludf.DUMMYFUNCTION("LEFT(A64, 4) &amp; TEXT(REGEXEXTRACT(A64, ""-(\d+)"") + 1, ""000"")"),"ADV-063")</f>
        <v>ADV-063</v>
      </c>
      <c r="B65" s="1" t="str">
        <f t="shared" si="0"/>
        <v>APTIDÃO MÁGICA +1 | 15</v>
      </c>
      <c r="C65" s="1" t="s">
        <v>107</v>
      </c>
      <c r="D65" s="1">
        <v>15</v>
      </c>
      <c r="E65" s="2" t="s">
        <v>99</v>
      </c>
      <c r="F65" s="2" t="s">
        <v>108</v>
      </c>
      <c r="G65" s="2" t="s">
        <v>11</v>
      </c>
      <c r="H65" s="2">
        <v>21</v>
      </c>
      <c r="I65" s="3"/>
      <c r="J65" s="3"/>
      <c r="K65" s="3"/>
      <c r="L65" s="3"/>
      <c r="M65" s="3"/>
      <c r="N65" s="3"/>
      <c r="O65" s="3"/>
      <c r="P65" s="3"/>
      <c r="Q65" s="3"/>
      <c r="R65" s="3"/>
      <c r="S65" s="3"/>
      <c r="T65" s="3"/>
      <c r="U65" s="3"/>
      <c r="V65" s="3"/>
      <c r="W65" s="3"/>
      <c r="X65" s="3"/>
      <c r="Y65" s="3"/>
      <c r="Z65" s="3"/>
      <c r="AA65" s="3"/>
    </row>
    <row r="66" spans="1:27" x14ac:dyDescent="0.2">
      <c r="A66" s="1" t="str">
        <f ca="1">IFERROR(__xludf.DUMMYFUNCTION("LEFT(A65, 4) &amp; TEXT(REGEXEXTRACT(A65, ""-(\d+)"") + 1, ""000"")"),"ADV-064")</f>
        <v>ADV-064</v>
      </c>
      <c r="B66" s="1" t="str">
        <f t="shared" si="0"/>
        <v>APTIDÃO MÁGICA +2 | 25</v>
      </c>
      <c r="C66" s="1" t="s">
        <v>109</v>
      </c>
      <c r="D66" s="1">
        <v>25</v>
      </c>
      <c r="E66" s="2" t="s">
        <v>99</v>
      </c>
      <c r="F66" s="2" t="s">
        <v>108</v>
      </c>
      <c r="G66" s="2" t="s">
        <v>11</v>
      </c>
      <c r="H66" s="2">
        <v>21</v>
      </c>
      <c r="I66" s="3"/>
      <c r="J66" s="3"/>
      <c r="K66" s="3"/>
      <c r="L66" s="3"/>
      <c r="M66" s="3"/>
      <c r="N66" s="3"/>
      <c r="O66" s="3"/>
      <c r="P66" s="3"/>
      <c r="Q66" s="3"/>
      <c r="R66" s="3"/>
      <c r="S66" s="3"/>
      <c r="T66" s="3"/>
      <c r="U66" s="3"/>
      <c r="V66" s="3"/>
      <c r="W66" s="3"/>
      <c r="X66" s="3"/>
      <c r="Y66" s="3"/>
      <c r="Z66" s="3"/>
      <c r="AA66" s="3"/>
    </row>
    <row r="67" spans="1:27" x14ac:dyDescent="0.2">
      <c r="A67" s="1" t="str">
        <f ca="1">IFERROR(__xludf.DUMMYFUNCTION("LEFT(A66, 4) &amp; TEXT(REGEXEXTRACT(A66, ""-(\d+)"") + 1, ""000"")"),"ADV-065")</f>
        <v>ADV-065</v>
      </c>
      <c r="B67" s="1" t="str">
        <f t="shared" si="0"/>
        <v>APTIDÃO MÁGICA +3 | 35</v>
      </c>
      <c r="C67" s="1" t="s">
        <v>110</v>
      </c>
      <c r="D67" s="1">
        <v>35</v>
      </c>
      <c r="E67" s="2" t="s">
        <v>99</v>
      </c>
      <c r="F67" s="2" t="s">
        <v>108</v>
      </c>
      <c r="G67" s="2" t="s">
        <v>11</v>
      </c>
      <c r="H67" s="2">
        <v>21</v>
      </c>
      <c r="I67" s="3"/>
      <c r="J67" s="3"/>
      <c r="K67" s="3"/>
      <c r="L67" s="3"/>
      <c r="M67" s="3"/>
      <c r="N67" s="3"/>
      <c r="O67" s="3"/>
      <c r="P67" s="3"/>
      <c r="Q67" s="3"/>
      <c r="R67" s="3"/>
      <c r="S67" s="3"/>
      <c r="T67" s="3"/>
      <c r="U67" s="3"/>
      <c r="V67" s="3"/>
      <c r="W67" s="3"/>
      <c r="X67" s="3"/>
      <c r="Y67" s="3"/>
      <c r="Z67" s="3"/>
      <c r="AA67" s="3"/>
    </row>
    <row r="68" spans="1:27" x14ac:dyDescent="0.2">
      <c r="A68" s="1" t="str">
        <f ca="1">IFERROR(__xludf.DUMMYFUNCTION("LEFT(A67, 4) &amp; TEXT(REGEXEXTRACT(A67, ""-(\d+)"") + 1, ""000"")"),"ADV-066")</f>
        <v>ADV-066</v>
      </c>
      <c r="B68" s="1" t="str">
        <f t="shared" si="0"/>
        <v>CÁLCULOS INSTANTÂNEOS | 5</v>
      </c>
      <c r="C68" s="1" t="s">
        <v>111</v>
      </c>
      <c r="D68" s="1">
        <v>5</v>
      </c>
      <c r="E68" s="2" t="s">
        <v>42</v>
      </c>
      <c r="F68" s="2" t="s">
        <v>112</v>
      </c>
      <c r="G68" s="2" t="s">
        <v>11</v>
      </c>
      <c r="H68" s="2">
        <v>21</v>
      </c>
      <c r="I68" s="3"/>
      <c r="J68" s="3"/>
      <c r="K68" s="3"/>
      <c r="L68" s="3"/>
      <c r="M68" s="3"/>
      <c r="N68" s="3"/>
      <c r="O68" s="3"/>
      <c r="P68" s="3"/>
      <c r="Q68" s="3"/>
      <c r="R68" s="3"/>
      <c r="S68" s="3"/>
      <c r="T68" s="3"/>
      <c r="U68" s="3"/>
      <c r="V68" s="3"/>
      <c r="W68" s="3"/>
      <c r="X68" s="3"/>
      <c r="Y68" s="3"/>
      <c r="Z68" s="3"/>
      <c r="AA68" s="3"/>
    </row>
    <row r="69" spans="1:27" x14ac:dyDescent="0.2">
      <c r="A69" s="1" t="str">
        <f ca="1">IFERROR(__xludf.DUMMYFUNCTION("LEFT(A68, 4) &amp; TEXT(REGEXEXTRACT(A68, ""-(\d+)"") + 1, ""000"")"),"ADV-067")</f>
        <v>ADV-067</v>
      </c>
      <c r="B69" s="1" t="str">
        <f t="shared" si="0"/>
        <v>LONGEVIDADE | 40</v>
      </c>
      <c r="C69" s="1" t="s">
        <v>113</v>
      </c>
      <c r="D69" s="1">
        <v>40</v>
      </c>
      <c r="E69" s="2" t="s">
        <v>30</v>
      </c>
      <c r="F69" s="2" t="s">
        <v>114</v>
      </c>
      <c r="G69" s="2" t="s">
        <v>11</v>
      </c>
      <c r="H69" s="2">
        <v>21</v>
      </c>
      <c r="I69" s="3"/>
      <c r="J69" s="3"/>
      <c r="K69" s="3"/>
      <c r="L69" s="3"/>
      <c r="M69" s="3"/>
      <c r="N69" s="3"/>
      <c r="O69" s="3"/>
      <c r="P69" s="3"/>
      <c r="Q69" s="3"/>
      <c r="R69" s="3"/>
      <c r="S69" s="3"/>
      <c r="T69" s="3"/>
      <c r="U69" s="3"/>
      <c r="V69" s="3"/>
      <c r="W69" s="3"/>
      <c r="X69" s="3"/>
      <c r="Y69" s="3"/>
      <c r="Z69" s="3"/>
      <c r="AA69" s="3"/>
    </row>
    <row r="70" spans="1:27" x14ac:dyDescent="0.2">
      <c r="A70" s="1" t="str">
        <f ca="1">IFERROR(__xludf.DUMMYFUNCTION("LEFT(A69, 4) &amp; TEXT(REGEXEXTRACT(A69, ""-(\d+)"") + 1, ""000"")"),"ADV-068")</f>
        <v>ADV-068</v>
      </c>
      <c r="B70" s="1" t="str">
        <f t="shared" si="0"/>
        <v>PODERES LEGAIS | 10</v>
      </c>
      <c r="C70" s="1" t="s">
        <v>115</v>
      </c>
      <c r="D70" s="1">
        <v>10</v>
      </c>
      <c r="E70" s="2" t="s">
        <v>9</v>
      </c>
      <c r="F70" s="2" t="s">
        <v>116</v>
      </c>
      <c r="G70" s="2" t="s">
        <v>11</v>
      </c>
      <c r="H70" s="2">
        <v>21</v>
      </c>
      <c r="I70" s="3"/>
      <c r="J70" s="3"/>
      <c r="K70" s="3"/>
      <c r="L70" s="3"/>
      <c r="M70" s="3"/>
      <c r="N70" s="3"/>
      <c r="O70" s="3"/>
      <c r="P70" s="3"/>
      <c r="Q70" s="3"/>
      <c r="R70" s="3"/>
      <c r="S70" s="3"/>
      <c r="T70" s="3"/>
      <c r="U70" s="3"/>
      <c r="V70" s="3"/>
      <c r="W70" s="3"/>
      <c r="X70" s="3"/>
      <c r="Y70" s="3"/>
      <c r="Z70" s="3"/>
      <c r="AA70" s="3"/>
    </row>
    <row r="71" spans="1:27" x14ac:dyDescent="0.2">
      <c r="A71" s="1" t="str">
        <f ca="1">IFERROR(__xludf.DUMMYFUNCTION("LEFT(A70, 4) &amp; TEXT(REGEXEXTRACT(A70, ""-(\d+)"") + 1, ""000"")"),"ADV-069")</f>
        <v>ADV-069</v>
      </c>
      <c r="B71" s="1" t="str">
        <f t="shared" si="0"/>
        <v>PODERES LEGAIS | 15</v>
      </c>
      <c r="C71" s="1" t="s">
        <v>115</v>
      </c>
      <c r="D71" s="1">
        <v>15</v>
      </c>
      <c r="E71" s="2" t="s">
        <v>9</v>
      </c>
      <c r="F71" s="2" t="s">
        <v>116</v>
      </c>
      <c r="G71" s="2" t="s">
        <v>11</v>
      </c>
      <c r="H71" s="2">
        <v>21</v>
      </c>
      <c r="I71" s="3"/>
      <c r="J71" s="3"/>
      <c r="K71" s="3"/>
      <c r="L71" s="3"/>
      <c r="M71" s="3"/>
      <c r="N71" s="3"/>
      <c r="O71" s="3"/>
      <c r="P71" s="3"/>
      <c r="Q71" s="3"/>
      <c r="R71" s="3"/>
      <c r="S71" s="3"/>
      <c r="T71" s="3"/>
      <c r="U71" s="3"/>
      <c r="V71" s="3"/>
      <c r="W71" s="3"/>
      <c r="X71" s="3"/>
      <c r="Y71" s="3"/>
      <c r="Z71" s="3"/>
      <c r="AA71" s="3"/>
    </row>
    <row r="72" spans="1:27" x14ac:dyDescent="0.2">
      <c r="A72" s="1" t="str">
        <f ca="1">IFERROR(__xludf.DUMMYFUNCTION("LEFT(A71, 4) &amp; TEXT(REGEXEXTRACT(A71, ""-(\d+)"") + 1, ""000"")"),"ADV-070")</f>
        <v>ADV-070</v>
      </c>
      <c r="B72" s="1" t="str">
        <f t="shared" si="0"/>
        <v>PODERES LEGAIS | 5</v>
      </c>
      <c r="C72" s="1" t="s">
        <v>115</v>
      </c>
      <c r="D72" s="1">
        <v>5</v>
      </c>
      <c r="E72" s="2" t="s">
        <v>9</v>
      </c>
      <c r="F72" s="2" t="s">
        <v>116</v>
      </c>
      <c r="G72" s="2" t="s">
        <v>11</v>
      </c>
      <c r="H72" s="2">
        <v>21</v>
      </c>
      <c r="I72" s="3"/>
      <c r="J72" s="3"/>
      <c r="K72" s="3"/>
      <c r="L72" s="3"/>
      <c r="M72" s="3"/>
      <c r="N72" s="3"/>
      <c r="O72" s="3"/>
      <c r="P72" s="3"/>
      <c r="Q72" s="3"/>
      <c r="R72" s="3"/>
      <c r="S72" s="3"/>
      <c r="T72" s="3"/>
      <c r="U72" s="3"/>
      <c r="V72" s="3"/>
      <c r="W72" s="3"/>
      <c r="X72" s="3"/>
      <c r="Y72" s="3"/>
      <c r="Z72" s="3"/>
      <c r="AA72" s="3"/>
    </row>
    <row r="73" spans="1:27" x14ac:dyDescent="0.2">
      <c r="A73" s="1" t="str">
        <f ca="1">IFERROR(__xludf.DUMMYFUNCTION("LEFT(A72, 4) &amp; TEXT(REGEXEXTRACT(A72, ""-(\d+)"") + 1, ""000"")"),"ADV-071")</f>
        <v>ADV-071</v>
      </c>
      <c r="B73" s="1" t="str">
        <f t="shared" si="0"/>
        <v>SORTE | 15</v>
      </c>
      <c r="C73" s="1" t="s">
        <v>117</v>
      </c>
      <c r="D73" s="1">
        <v>15</v>
      </c>
      <c r="E73" s="2" t="s">
        <v>42</v>
      </c>
      <c r="F73" s="2" t="s">
        <v>118</v>
      </c>
      <c r="G73" s="2" t="s">
        <v>11</v>
      </c>
      <c r="H73" s="2">
        <v>21</v>
      </c>
      <c r="I73" s="3"/>
      <c r="J73" s="3"/>
      <c r="K73" s="3"/>
      <c r="L73" s="3"/>
      <c r="M73" s="3"/>
      <c r="N73" s="3"/>
      <c r="O73" s="3"/>
      <c r="P73" s="3"/>
      <c r="Q73" s="3"/>
      <c r="R73" s="3"/>
      <c r="S73" s="3"/>
      <c r="T73" s="3"/>
      <c r="U73" s="3"/>
      <c r="V73" s="3"/>
      <c r="W73" s="3"/>
      <c r="X73" s="3"/>
      <c r="Y73" s="3"/>
      <c r="Z73" s="3"/>
      <c r="AA73" s="3"/>
    </row>
    <row r="74" spans="1:27" x14ac:dyDescent="0.2">
      <c r="A74" s="1" t="str">
        <f ca="1">IFERROR(__xludf.DUMMYFUNCTION("LEFT(A73, 4) &amp; TEXT(REGEXEXTRACT(A73, ""-(\d+)"") + 1, ""000"")"),"ADV-072")</f>
        <v>ADV-072</v>
      </c>
      <c r="B74" s="1" t="str">
        <f t="shared" si="0"/>
        <v>SORTE EXTRAORDINÁRIA | 30</v>
      </c>
      <c r="C74" s="1" t="s">
        <v>119</v>
      </c>
      <c r="D74" s="1">
        <v>30</v>
      </c>
      <c r="E74" s="2" t="s">
        <v>42</v>
      </c>
      <c r="F74" s="2" t="s">
        <v>120</v>
      </c>
      <c r="G74" s="2" t="s">
        <v>11</v>
      </c>
      <c r="H74" s="2">
        <v>21</v>
      </c>
      <c r="I74" s="3"/>
      <c r="J74" s="3"/>
      <c r="K74" s="3"/>
      <c r="L74" s="3"/>
      <c r="M74" s="3"/>
      <c r="N74" s="3"/>
      <c r="O74" s="3"/>
      <c r="P74" s="3"/>
      <c r="Q74" s="3"/>
      <c r="R74" s="3"/>
      <c r="S74" s="3"/>
      <c r="T74" s="3"/>
      <c r="U74" s="3"/>
      <c r="V74" s="3"/>
      <c r="W74" s="3"/>
      <c r="X74" s="3"/>
      <c r="Y74" s="3"/>
      <c r="Z74" s="3"/>
      <c r="AA74" s="3"/>
    </row>
    <row r="75" spans="1:27" x14ac:dyDescent="0.2">
      <c r="A75" s="1" t="str">
        <f ca="1">IFERROR(__xludf.DUMMYFUNCTION("LEFT(A74, 4) &amp; TEXT(REGEXEXTRACT(A74, ""-(\d+)"") + 1, ""000"")"),"ADV-073")</f>
        <v>ADV-073</v>
      </c>
      <c r="B75" s="1" t="str">
        <f t="shared" si="0"/>
        <v>HIERARQUIA MILITAR 1 | 5</v>
      </c>
      <c r="C75" s="1" t="s">
        <v>121</v>
      </c>
      <c r="D75" s="1">
        <v>5</v>
      </c>
      <c r="E75" s="2" t="s">
        <v>9</v>
      </c>
      <c r="F75" s="2" t="s">
        <v>122</v>
      </c>
      <c r="G75" s="2" t="s">
        <v>11</v>
      </c>
      <c r="H75" s="2">
        <v>22</v>
      </c>
      <c r="I75" s="3"/>
      <c r="J75" s="3"/>
      <c r="K75" s="3"/>
      <c r="L75" s="3"/>
      <c r="M75" s="3"/>
      <c r="N75" s="3"/>
      <c r="O75" s="3"/>
      <c r="P75" s="3"/>
      <c r="Q75" s="3"/>
      <c r="R75" s="3"/>
      <c r="S75" s="3"/>
      <c r="T75" s="3"/>
      <c r="U75" s="3"/>
      <c r="V75" s="3"/>
      <c r="W75" s="3"/>
      <c r="X75" s="3"/>
      <c r="Y75" s="3"/>
      <c r="Z75" s="3"/>
      <c r="AA75" s="3"/>
    </row>
    <row r="76" spans="1:27" x14ac:dyDescent="0.2">
      <c r="A76" s="1" t="str">
        <f ca="1">IFERROR(__xludf.DUMMYFUNCTION("LEFT(A75, 4) &amp; TEXT(REGEXEXTRACT(A75, ""-(\d+)"") + 1, ""000"")"),"ADV-074")</f>
        <v>ADV-074</v>
      </c>
      <c r="B76" s="1" t="str">
        <f t="shared" si="0"/>
        <v>HIERARQUIA MILITAR 2 | 10</v>
      </c>
      <c r="C76" s="1" t="s">
        <v>123</v>
      </c>
      <c r="D76" s="1">
        <v>10</v>
      </c>
      <c r="E76" s="2" t="s">
        <v>9</v>
      </c>
      <c r="F76" s="2" t="s">
        <v>122</v>
      </c>
      <c r="G76" s="2" t="s">
        <v>11</v>
      </c>
      <c r="H76" s="2">
        <v>22</v>
      </c>
      <c r="I76" s="3"/>
      <c r="J76" s="3"/>
      <c r="K76" s="3"/>
      <c r="L76" s="3"/>
      <c r="M76" s="3"/>
      <c r="N76" s="3"/>
      <c r="O76" s="3"/>
      <c r="P76" s="3"/>
      <c r="Q76" s="3"/>
      <c r="R76" s="3"/>
      <c r="S76" s="3"/>
      <c r="T76" s="3"/>
      <c r="U76" s="3"/>
      <c r="V76" s="3"/>
      <c r="W76" s="3"/>
      <c r="X76" s="3"/>
      <c r="Y76" s="3"/>
      <c r="Z76" s="3"/>
      <c r="AA76" s="3"/>
    </row>
    <row r="77" spans="1:27" x14ac:dyDescent="0.2">
      <c r="A77" s="1" t="str">
        <f ca="1">IFERROR(__xludf.DUMMYFUNCTION("LEFT(A76, 4) &amp; TEXT(REGEXEXTRACT(A76, ""-(\d+)"") + 1, ""000"")"),"ADV-075")</f>
        <v>ADV-075</v>
      </c>
      <c r="B77" s="1" t="str">
        <f t="shared" si="0"/>
        <v>HIERARQUIA MILITAR 3 | 15</v>
      </c>
      <c r="C77" s="1" t="s">
        <v>124</v>
      </c>
      <c r="D77" s="1">
        <v>15</v>
      </c>
      <c r="E77" s="2" t="s">
        <v>9</v>
      </c>
      <c r="F77" s="2" t="s">
        <v>122</v>
      </c>
      <c r="G77" s="2" t="s">
        <v>11</v>
      </c>
      <c r="H77" s="2">
        <v>22</v>
      </c>
      <c r="I77" s="3"/>
      <c r="J77" s="3"/>
      <c r="K77" s="3"/>
      <c r="L77" s="3"/>
      <c r="M77" s="3"/>
      <c r="N77" s="3"/>
      <c r="O77" s="3"/>
      <c r="P77" s="3"/>
      <c r="Q77" s="3"/>
      <c r="R77" s="3"/>
      <c r="S77" s="3"/>
      <c r="T77" s="3"/>
      <c r="U77" s="3"/>
      <c r="V77" s="3"/>
      <c r="W77" s="3"/>
      <c r="X77" s="3"/>
      <c r="Y77" s="3"/>
      <c r="Z77" s="3"/>
      <c r="AA77" s="3"/>
    </row>
    <row r="78" spans="1:27" x14ac:dyDescent="0.2">
      <c r="A78" s="1" t="str">
        <f ca="1">IFERROR(__xludf.DUMMYFUNCTION("LEFT(A77, 4) &amp; TEXT(REGEXEXTRACT(A77, ""-(\d+)"") + 1, ""000"")"),"ADV-076")</f>
        <v>ADV-076</v>
      </c>
      <c r="B78" s="1" t="str">
        <f t="shared" si="0"/>
        <v>HIERARQUIA MILITAR 4 | 20</v>
      </c>
      <c r="C78" s="1" t="s">
        <v>125</v>
      </c>
      <c r="D78" s="1">
        <v>20</v>
      </c>
      <c r="E78" s="2" t="s">
        <v>9</v>
      </c>
      <c r="F78" s="2" t="s">
        <v>122</v>
      </c>
      <c r="G78" s="2" t="s">
        <v>11</v>
      </c>
      <c r="H78" s="2">
        <v>22</v>
      </c>
      <c r="I78" s="3"/>
      <c r="J78" s="3"/>
      <c r="K78" s="3"/>
      <c r="L78" s="3"/>
      <c r="M78" s="3"/>
      <c r="N78" s="3"/>
      <c r="O78" s="3"/>
      <c r="P78" s="3"/>
      <c r="Q78" s="3"/>
      <c r="R78" s="3"/>
      <c r="S78" s="3"/>
      <c r="T78" s="3"/>
      <c r="U78" s="3"/>
      <c r="V78" s="3"/>
      <c r="W78" s="3"/>
      <c r="X78" s="3"/>
      <c r="Y78" s="3"/>
      <c r="Z78" s="3"/>
      <c r="AA78" s="3"/>
    </row>
    <row r="79" spans="1:27" x14ac:dyDescent="0.2">
      <c r="A79" s="1" t="str">
        <f ca="1">IFERROR(__xludf.DUMMYFUNCTION("LEFT(A78, 4) &amp; TEXT(REGEXEXTRACT(A78, ""-(\d+)"") + 1, ""000"")"),"ADV-077")</f>
        <v>ADV-077</v>
      </c>
      <c r="B79" s="1" t="str">
        <f t="shared" si="0"/>
        <v>HIERARQUIA MILITAR 5 | 25</v>
      </c>
      <c r="C79" s="1" t="s">
        <v>126</v>
      </c>
      <c r="D79" s="1">
        <v>25</v>
      </c>
      <c r="E79" s="2" t="s">
        <v>9</v>
      </c>
      <c r="F79" s="2" t="s">
        <v>122</v>
      </c>
      <c r="G79" s="2" t="s">
        <v>11</v>
      </c>
      <c r="H79" s="2">
        <v>22</v>
      </c>
      <c r="I79" s="3"/>
      <c r="J79" s="3"/>
      <c r="K79" s="3"/>
      <c r="L79" s="3"/>
      <c r="M79" s="3"/>
      <c r="N79" s="3"/>
      <c r="O79" s="3"/>
      <c r="P79" s="3"/>
      <c r="Q79" s="3"/>
      <c r="R79" s="3"/>
      <c r="S79" s="3"/>
      <c r="T79" s="3"/>
      <c r="U79" s="3"/>
      <c r="V79" s="3"/>
      <c r="W79" s="3"/>
      <c r="X79" s="3"/>
      <c r="Y79" s="3"/>
      <c r="Z79" s="3"/>
      <c r="AA79" s="3"/>
    </row>
    <row r="80" spans="1:27" x14ac:dyDescent="0.2">
      <c r="A80" s="1" t="str">
        <f ca="1">IFERROR(__xludf.DUMMYFUNCTION("LEFT(A79, 4) &amp; TEXT(REGEXEXTRACT(A79, ""-(\d+)"") + 1, ""000"")"),"ADV-078")</f>
        <v>ADV-078</v>
      </c>
      <c r="B80" s="1" t="str">
        <f t="shared" si="0"/>
        <v>HIERARQUIA MILITAR 6 | 30</v>
      </c>
      <c r="C80" s="1" t="s">
        <v>127</v>
      </c>
      <c r="D80" s="1">
        <v>30</v>
      </c>
      <c r="E80" s="2" t="s">
        <v>9</v>
      </c>
      <c r="F80" s="2" t="s">
        <v>122</v>
      </c>
      <c r="G80" s="2" t="s">
        <v>11</v>
      </c>
      <c r="H80" s="2">
        <v>22</v>
      </c>
      <c r="I80" s="3"/>
      <c r="J80" s="3"/>
      <c r="K80" s="3"/>
      <c r="L80" s="3"/>
      <c r="M80" s="3"/>
      <c r="N80" s="3"/>
      <c r="O80" s="3"/>
      <c r="P80" s="3"/>
      <c r="Q80" s="3"/>
      <c r="R80" s="3"/>
      <c r="S80" s="3"/>
      <c r="T80" s="3"/>
      <c r="U80" s="3"/>
      <c r="V80" s="3"/>
      <c r="W80" s="3"/>
      <c r="X80" s="3"/>
      <c r="Y80" s="3"/>
      <c r="Z80" s="3"/>
      <c r="AA80" s="3"/>
    </row>
    <row r="81" spans="1:27" x14ac:dyDescent="0.2">
      <c r="A81" s="1" t="str">
        <f ca="1">IFERROR(__xludf.DUMMYFUNCTION("LEFT(A80, 4) &amp; TEXT(REGEXEXTRACT(A80, ""-(\d+)"") + 1, ""000"")"),"ADV-079")</f>
        <v>ADV-079</v>
      </c>
      <c r="B81" s="1" t="str">
        <f t="shared" si="0"/>
        <v>HIERARQUIA MILITAR 7 | 35</v>
      </c>
      <c r="C81" s="1" t="s">
        <v>128</v>
      </c>
      <c r="D81" s="1">
        <v>35</v>
      </c>
      <c r="E81" s="2" t="s">
        <v>9</v>
      </c>
      <c r="F81" s="2" t="s">
        <v>122</v>
      </c>
      <c r="G81" s="2" t="s">
        <v>11</v>
      </c>
      <c r="H81" s="2">
        <v>22</v>
      </c>
      <c r="I81" s="3"/>
      <c r="J81" s="3"/>
      <c r="K81" s="3"/>
      <c r="L81" s="3"/>
      <c r="M81" s="3"/>
      <c r="N81" s="3"/>
      <c r="O81" s="3"/>
      <c r="P81" s="3"/>
      <c r="Q81" s="3"/>
      <c r="R81" s="3"/>
      <c r="S81" s="3"/>
      <c r="T81" s="3"/>
      <c r="U81" s="3"/>
      <c r="V81" s="3"/>
      <c r="W81" s="3"/>
      <c r="X81" s="3"/>
      <c r="Y81" s="3"/>
      <c r="Z81" s="3"/>
      <c r="AA81" s="3"/>
    </row>
    <row r="82" spans="1:27" x14ac:dyDescent="0.2">
      <c r="A82" s="1" t="str">
        <f ca="1">IFERROR(__xludf.DUMMYFUNCTION("LEFT(A81, 4) &amp; TEXT(REGEXEXTRACT(A81, ""-(\d+)"") + 1, ""000"")"),"ADV-080")</f>
        <v>ADV-080</v>
      </c>
      <c r="B82" s="1" t="str">
        <f t="shared" si="0"/>
        <v>HIERARQUIA MILITAR 8 | 40</v>
      </c>
      <c r="C82" s="1" t="s">
        <v>129</v>
      </c>
      <c r="D82" s="1">
        <v>40</v>
      </c>
      <c r="E82" s="2" t="s">
        <v>9</v>
      </c>
      <c r="F82" s="2" t="s">
        <v>122</v>
      </c>
      <c r="G82" s="2" t="s">
        <v>11</v>
      </c>
      <c r="H82" s="2">
        <v>22</v>
      </c>
      <c r="I82" s="3"/>
      <c r="J82" s="3"/>
      <c r="K82" s="3"/>
      <c r="L82" s="3"/>
      <c r="M82" s="3"/>
      <c r="N82" s="3"/>
      <c r="O82" s="3"/>
      <c r="P82" s="3"/>
      <c r="Q82" s="3"/>
      <c r="R82" s="3"/>
      <c r="S82" s="3"/>
      <c r="T82" s="3"/>
      <c r="U82" s="3"/>
      <c r="V82" s="3"/>
      <c r="W82" s="3"/>
      <c r="X82" s="3"/>
      <c r="Y82" s="3"/>
      <c r="Z82" s="3"/>
      <c r="AA82" s="3"/>
    </row>
    <row r="83" spans="1:27" x14ac:dyDescent="0.2">
      <c r="A83" s="1" t="str">
        <f ca="1">IFERROR(__xludf.DUMMYFUNCTION("LEFT(A82, 4) &amp; TEXT(REGEXEXTRACT(A82, ""-(\d+)"") + 1, ""000"")"),"ADV-081")</f>
        <v>ADV-081</v>
      </c>
      <c r="B83" s="1" t="str">
        <f t="shared" si="0"/>
        <v>TALENTO MUSICAL +1 | 1</v>
      </c>
      <c r="C83" s="1" t="s">
        <v>130</v>
      </c>
      <c r="D83" s="1">
        <v>1</v>
      </c>
      <c r="E83" s="2" t="s">
        <v>42</v>
      </c>
      <c r="F83" s="2" t="s">
        <v>131</v>
      </c>
      <c r="G83" s="2" t="s">
        <v>11</v>
      </c>
      <c r="H83" s="2">
        <v>22</v>
      </c>
      <c r="I83" s="3"/>
      <c r="J83" s="3"/>
      <c r="K83" s="3"/>
      <c r="L83" s="3"/>
      <c r="M83" s="3"/>
      <c r="N83" s="3"/>
      <c r="O83" s="3"/>
      <c r="P83" s="3"/>
      <c r="Q83" s="3"/>
      <c r="R83" s="3"/>
      <c r="S83" s="3"/>
      <c r="T83" s="3"/>
      <c r="U83" s="3"/>
      <c r="V83" s="3"/>
      <c r="W83" s="3"/>
      <c r="X83" s="3"/>
      <c r="Y83" s="3"/>
      <c r="Z83" s="3"/>
      <c r="AA83" s="3"/>
    </row>
    <row r="84" spans="1:27" x14ac:dyDescent="0.2">
      <c r="A84" s="1" t="str">
        <f ca="1">IFERROR(__xludf.DUMMYFUNCTION("LEFT(A83, 4) &amp; TEXT(REGEXEXTRACT(A83, ""-(\d+)"") + 1, ""000"")"),"ADV-082")</f>
        <v>ADV-082</v>
      </c>
      <c r="B84" s="1" t="str">
        <f t="shared" si="0"/>
        <v>TALENTO MUSICAL +2 | 2</v>
      </c>
      <c r="C84" s="1" t="s">
        <v>132</v>
      </c>
      <c r="D84" s="1">
        <v>2</v>
      </c>
      <c r="E84" s="2" t="s">
        <v>42</v>
      </c>
      <c r="F84" s="2" t="s">
        <v>131</v>
      </c>
      <c r="G84" s="2" t="s">
        <v>11</v>
      </c>
      <c r="H84" s="2">
        <v>22</v>
      </c>
      <c r="I84" s="3"/>
      <c r="J84" s="3"/>
      <c r="K84" s="3"/>
      <c r="L84" s="3"/>
      <c r="M84" s="3"/>
      <c r="N84" s="3"/>
      <c r="O84" s="3"/>
      <c r="P84" s="3"/>
      <c r="Q84" s="3"/>
      <c r="R84" s="3"/>
      <c r="S84" s="3"/>
      <c r="T84" s="3"/>
      <c r="U84" s="3"/>
      <c r="V84" s="3"/>
      <c r="W84" s="3"/>
      <c r="X84" s="3"/>
      <c r="Y84" s="3"/>
      <c r="Z84" s="3"/>
      <c r="AA84" s="3"/>
    </row>
    <row r="85" spans="1:27" x14ac:dyDescent="0.2">
      <c r="A85" s="1" t="str">
        <f ca="1">IFERROR(__xludf.DUMMYFUNCTION("LEFT(A84, 4) &amp; TEXT(REGEXEXTRACT(A84, ""-(\d+)"") + 1, ""000"")"),"ADV-083")</f>
        <v>ADV-083</v>
      </c>
      <c r="B85" s="1" t="str">
        <f t="shared" si="0"/>
        <v>TALENTO MUSICAL +3 | 3</v>
      </c>
      <c r="C85" s="1" t="s">
        <v>133</v>
      </c>
      <c r="D85" s="1">
        <v>3</v>
      </c>
      <c r="E85" s="2" t="s">
        <v>42</v>
      </c>
      <c r="F85" s="2" t="s">
        <v>131</v>
      </c>
      <c r="G85" s="2" t="s">
        <v>11</v>
      </c>
      <c r="H85" s="2">
        <v>22</v>
      </c>
      <c r="I85" s="3"/>
      <c r="J85" s="3"/>
      <c r="K85" s="3"/>
      <c r="L85" s="3"/>
      <c r="M85" s="3"/>
      <c r="N85" s="3"/>
      <c r="O85" s="3"/>
      <c r="P85" s="3"/>
      <c r="Q85" s="3"/>
      <c r="R85" s="3"/>
      <c r="S85" s="3"/>
      <c r="T85" s="3"/>
      <c r="U85" s="3"/>
      <c r="V85" s="3"/>
      <c r="W85" s="3"/>
      <c r="X85" s="3"/>
      <c r="Y85" s="3"/>
      <c r="Z85" s="3"/>
      <c r="AA85" s="3"/>
    </row>
    <row r="86" spans="1:27" x14ac:dyDescent="0.2">
      <c r="A86" s="1" t="str">
        <f ca="1">IFERROR(__xludf.DUMMYFUNCTION("LEFT(A85, 4) &amp; TEXT(REGEXEXTRACT(A85, ""-(\d+)"") + 1, ""000"")"),"ADV-084")</f>
        <v>ADV-084</v>
      </c>
      <c r="B86" s="1" t="str">
        <f t="shared" si="0"/>
        <v>TALENTO MUSICAL +4 | 4</v>
      </c>
      <c r="C86" s="1" t="s">
        <v>134</v>
      </c>
      <c r="D86" s="1">
        <v>4</v>
      </c>
      <c r="E86" s="2" t="s">
        <v>42</v>
      </c>
      <c r="F86" s="2" t="s">
        <v>131</v>
      </c>
      <c r="G86" s="2" t="s">
        <v>11</v>
      </c>
      <c r="H86" s="2">
        <v>22</v>
      </c>
      <c r="I86" s="3"/>
      <c r="J86" s="3"/>
      <c r="K86" s="3"/>
      <c r="L86" s="3"/>
      <c r="M86" s="3"/>
      <c r="N86" s="3"/>
      <c r="O86" s="3"/>
      <c r="P86" s="3"/>
      <c r="Q86" s="3"/>
      <c r="R86" s="3"/>
      <c r="S86" s="3"/>
      <c r="T86" s="3"/>
      <c r="U86" s="3"/>
      <c r="V86" s="3"/>
      <c r="W86" s="3"/>
      <c r="X86" s="3"/>
      <c r="Y86" s="3"/>
      <c r="Z86" s="3"/>
      <c r="AA86" s="3"/>
    </row>
    <row r="87" spans="1:27" x14ac:dyDescent="0.2">
      <c r="A87" s="1" t="str">
        <f ca="1">IFERROR(__xludf.DUMMYFUNCTION("LEFT(A86, 4) &amp; TEXT(REGEXEXTRACT(A86, ""-(\d+)"") + 1, ""000"")"),"ADV-085")</f>
        <v>ADV-085</v>
      </c>
      <c r="B87" s="1" t="str">
        <f t="shared" si="0"/>
        <v>TALENTO MUSICAL +5 | 5</v>
      </c>
      <c r="C87" s="1" t="s">
        <v>135</v>
      </c>
      <c r="D87" s="1">
        <v>5</v>
      </c>
      <c r="E87" s="2" t="s">
        <v>42</v>
      </c>
      <c r="F87" s="2" t="s">
        <v>131</v>
      </c>
      <c r="G87" s="2" t="s">
        <v>11</v>
      </c>
      <c r="H87" s="2">
        <v>22</v>
      </c>
      <c r="I87" s="3"/>
      <c r="J87" s="3"/>
      <c r="K87" s="3"/>
      <c r="L87" s="3"/>
      <c r="M87" s="3"/>
      <c r="N87" s="3"/>
      <c r="O87" s="3"/>
      <c r="P87" s="3"/>
      <c r="Q87" s="3"/>
      <c r="R87" s="3"/>
      <c r="S87" s="3"/>
      <c r="T87" s="3"/>
      <c r="U87" s="3"/>
      <c r="V87" s="3"/>
      <c r="W87" s="3"/>
      <c r="X87" s="3"/>
      <c r="Y87" s="3"/>
      <c r="Z87" s="3"/>
      <c r="AA87" s="3"/>
    </row>
    <row r="88" spans="1:27" x14ac:dyDescent="0.2">
      <c r="A88" s="1" t="str">
        <f ca="1">IFERROR(__xludf.DUMMYFUNCTION("LEFT(A87, 4) &amp; TEXT(REGEXEXTRACT(A87, ""-(\d+)"") + 1, ""000"")"),"ADV-086")</f>
        <v>ADV-086</v>
      </c>
      <c r="B88" s="1" t="str">
        <f t="shared" si="0"/>
        <v>VISÃO NOTURNA | 10</v>
      </c>
      <c r="C88" s="1" t="s">
        <v>136</v>
      </c>
      <c r="D88" s="1">
        <v>10</v>
      </c>
      <c r="E88" s="2" t="s">
        <v>30</v>
      </c>
      <c r="F88" s="2" t="s">
        <v>137</v>
      </c>
      <c r="G88" s="2" t="s">
        <v>11</v>
      </c>
      <c r="H88" s="2">
        <v>22</v>
      </c>
      <c r="I88" s="3"/>
      <c r="J88" s="3"/>
      <c r="K88" s="3"/>
      <c r="L88" s="3"/>
      <c r="M88" s="3"/>
      <c r="N88" s="3"/>
      <c r="O88" s="3"/>
      <c r="P88" s="3"/>
      <c r="Q88" s="3"/>
      <c r="R88" s="3"/>
      <c r="S88" s="3"/>
      <c r="T88" s="3"/>
      <c r="U88" s="3"/>
      <c r="V88" s="3"/>
      <c r="W88" s="3"/>
      <c r="X88" s="3"/>
      <c r="Y88" s="3"/>
      <c r="Z88" s="3"/>
      <c r="AA88" s="3"/>
    </row>
    <row r="89" spans="1:27" x14ac:dyDescent="0.2">
      <c r="A89" s="1" t="str">
        <f ca="1">IFERROR(__xludf.DUMMYFUNCTION("LEFT(A88, 4) &amp; TEXT(REGEXEXTRACT(A88, ""-(\d+)"") + 1, ""000"")"),"ADV-087")</f>
        <v>ADV-087</v>
      </c>
      <c r="B89" s="1" t="str">
        <f t="shared" si="0"/>
        <v>VISÃO PERIFÉRICA | 15</v>
      </c>
      <c r="C89" s="1" t="s">
        <v>138</v>
      </c>
      <c r="D89" s="1">
        <v>15</v>
      </c>
      <c r="E89" s="2" t="s">
        <v>30</v>
      </c>
      <c r="F89" s="2" t="s">
        <v>139</v>
      </c>
      <c r="G89" s="2" t="s">
        <v>11</v>
      </c>
      <c r="H89" s="2">
        <v>22</v>
      </c>
      <c r="I89" s="3"/>
      <c r="J89" s="3"/>
      <c r="K89" s="3"/>
      <c r="L89" s="3"/>
      <c r="M89" s="3"/>
      <c r="N89" s="3"/>
      <c r="O89" s="3"/>
      <c r="P89" s="3"/>
      <c r="Q89" s="3"/>
      <c r="R89" s="3"/>
      <c r="S89" s="3"/>
      <c r="T89" s="3"/>
      <c r="U89" s="3"/>
      <c r="V89" s="3"/>
      <c r="W89" s="3"/>
      <c r="X89" s="3"/>
      <c r="Y89" s="3"/>
      <c r="Z89" s="3"/>
      <c r="AA89" s="3"/>
    </row>
    <row r="90" spans="1:27" x14ac:dyDescent="0.2">
      <c r="A90" s="1" t="str">
        <f ca="1">IFERROR(__xludf.DUMMYFUNCTION("LEFT(A89, 4) &amp; TEXT(REGEXEXTRACT(A89, ""-(\d+)"") + 1, ""000"")"),"ADV-088")</f>
        <v>ADV-088</v>
      </c>
      <c r="B90" s="1" t="str">
        <f t="shared" si="0"/>
        <v>FORÇA DE VONTADE +1 | 4</v>
      </c>
      <c r="C90" s="1" t="s">
        <v>140</v>
      </c>
      <c r="D90" s="1">
        <v>4</v>
      </c>
      <c r="E90" s="2" t="s">
        <v>42</v>
      </c>
      <c r="F90" s="2" t="s">
        <v>141</v>
      </c>
      <c r="G90" s="2" t="s">
        <v>11</v>
      </c>
      <c r="H90" s="2">
        <v>23</v>
      </c>
      <c r="I90" s="3"/>
      <c r="J90" s="3"/>
      <c r="K90" s="3"/>
      <c r="L90" s="3"/>
      <c r="M90" s="3"/>
      <c r="N90" s="3"/>
      <c r="O90" s="3"/>
      <c r="P90" s="3"/>
      <c r="Q90" s="3"/>
      <c r="R90" s="3"/>
      <c r="S90" s="3"/>
      <c r="T90" s="3"/>
      <c r="U90" s="3"/>
      <c r="V90" s="3"/>
      <c r="W90" s="3"/>
      <c r="X90" s="3"/>
      <c r="Y90" s="3"/>
      <c r="Z90" s="3"/>
      <c r="AA90" s="3"/>
    </row>
    <row r="91" spans="1:27" x14ac:dyDescent="0.2">
      <c r="A91" s="1" t="str">
        <f ca="1">IFERROR(__xludf.DUMMYFUNCTION("LEFT(A90, 4) &amp; TEXT(REGEXEXTRACT(A90, ""-(\d+)"") + 1, ""000"")"),"ADV-089")</f>
        <v>ADV-089</v>
      </c>
      <c r="B91" s="1" t="str">
        <f t="shared" si="0"/>
        <v>FORÇA DE VONTADE +2 | 8</v>
      </c>
      <c r="C91" s="1" t="s">
        <v>142</v>
      </c>
      <c r="D91" s="1">
        <v>8</v>
      </c>
      <c r="E91" s="2" t="s">
        <v>42</v>
      </c>
      <c r="F91" s="2" t="s">
        <v>141</v>
      </c>
      <c r="G91" s="2" t="s">
        <v>11</v>
      </c>
      <c r="H91" s="2">
        <v>23</v>
      </c>
      <c r="I91" s="3"/>
      <c r="J91" s="3"/>
      <c r="K91" s="3"/>
      <c r="L91" s="3"/>
      <c r="M91" s="3"/>
      <c r="N91" s="3"/>
      <c r="O91" s="3"/>
      <c r="P91" s="3"/>
      <c r="Q91" s="3"/>
      <c r="R91" s="3"/>
      <c r="S91" s="3"/>
      <c r="T91" s="3"/>
      <c r="U91" s="3"/>
      <c r="V91" s="3"/>
      <c r="W91" s="3"/>
      <c r="X91" s="3"/>
      <c r="Y91" s="3"/>
      <c r="Z91" s="3"/>
      <c r="AA91" s="3"/>
    </row>
    <row r="92" spans="1:27" x14ac:dyDescent="0.2">
      <c r="A92" s="1" t="str">
        <f ca="1">IFERROR(__xludf.DUMMYFUNCTION("LEFT(A91, 4) &amp; TEXT(REGEXEXTRACT(A91, ""-(\d+)"") + 1, ""000"")"),"ADV-090")</f>
        <v>ADV-090</v>
      </c>
      <c r="B92" s="1" t="str">
        <f t="shared" si="0"/>
        <v>FORÇA DE VONTADE +3 | 12</v>
      </c>
      <c r="C92" s="1" t="s">
        <v>143</v>
      </c>
      <c r="D92" s="1">
        <v>12</v>
      </c>
      <c r="E92" s="2" t="s">
        <v>42</v>
      </c>
      <c r="F92" s="2" t="s">
        <v>141</v>
      </c>
      <c r="G92" s="2" t="s">
        <v>11</v>
      </c>
      <c r="H92" s="2">
        <v>23</v>
      </c>
      <c r="I92" s="3"/>
      <c r="J92" s="3"/>
      <c r="K92" s="3"/>
      <c r="L92" s="3"/>
      <c r="M92" s="3"/>
      <c r="N92" s="3"/>
      <c r="O92" s="3"/>
      <c r="P92" s="3"/>
      <c r="Q92" s="3"/>
      <c r="R92" s="3"/>
      <c r="S92" s="3"/>
      <c r="T92" s="3"/>
      <c r="U92" s="3"/>
      <c r="V92" s="3"/>
      <c r="W92" s="3"/>
      <c r="X92" s="3"/>
      <c r="Y92" s="3"/>
      <c r="Z92" s="3"/>
      <c r="AA92" s="3"/>
    </row>
    <row r="93" spans="1:27" x14ac:dyDescent="0.2">
      <c r="A93" s="1" t="str">
        <f ca="1">IFERROR(__xludf.DUMMYFUNCTION("LEFT(A92, 4) &amp; TEXT(REGEXEXTRACT(A92, ""-(\d+)"") + 1, ""000"")"),"ADV-091")</f>
        <v>ADV-091</v>
      </c>
      <c r="B93" s="1" t="str">
        <f t="shared" si="0"/>
        <v>FORÇA DE VONTADE +4 | 16</v>
      </c>
      <c r="C93" s="1" t="s">
        <v>144</v>
      </c>
      <c r="D93" s="1">
        <v>16</v>
      </c>
      <c r="E93" s="2" t="s">
        <v>42</v>
      </c>
      <c r="F93" s="2" t="s">
        <v>141</v>
      </c>
      <c r="G93" s="2" t="s">
        <v>11</v>
      </c>
      <c r="H93" s="2">
        <v>23</v>
      </c>
      <c r="I93" s="3"/>
      <c r="J93" s="3"/>
      <c r="K93" s="3"/>
      <c r="L93" s="3"/>
      <c r="M93" s="3"/>
      <c r="N93" s="3"/>
      <c r="O93" s="3"/>
      <c r="P93" s="3"/>
      <c r="Q93" s="3"/>
      <c r="R93" s="3"/>
      <c r="S93" s="3"/>
      <c r="T93" s="3"/>
      <c r="U93" s="3"/>
      <c r="V93" s="3"/>
      <c r="W93" s="3"/>
      <c r="X93" s="3"/>
      <c r="Y93" s="3"/>
      <c r="Z93" s="3"/>
      <c r="AA93" s="3"/>
    </row>
    <row r="94" spans="1:27" x14ac:dyDescent="0.2">
      <c r="A94" s="1" t="str">
        <f ca="1">IFERROR(__xludf.DUMMYFUNCTION("LEFT(A93, 4) &amp; TEXT(REGEXEXTRACT(A93, ""-(\d+)"") + 1, ""000"")"),"ADV-092")</f>
        <v>ADV-092</v>
      </c>
      <c r="B94" s="1" t="str">
        <f t="shared" si="0"/>
        <v>FORÇA DE VONTADE +5 | 20</v>
      </c>
      <c r="C94" s="1" t="s">
        <v>145</v>
      </c>
      <c r="D94" s="1">
        <v>20</v>
      </c>
      <c r="E94" s="2" t="s">
        <v>42</v>
      </c>
      <c r="F94" s="2" t="s">
        <v>141</v>
      </c>
      <c r="G94" s="2" t="s">
        <v>11</v>
      </c>
      <c r="H94" s="2">
        <v>23</v>
      </c>
      <c r="I94" s="3"/>
      <c r="J94" s="3"/>
      <c r="K94" s="3"/>
      <c r="L94" s="3"/>
      <c r="M94" s="3"/>
      <c r="N94" s="3"/>
      <c r="O94" s="3"/>
      <c r="P94" s="3"/>
      <c r="Q94" s="3"/>
      <c r="R94" s="3"/>
      <c r="S94" s="3"/>
      <c r="T94" s="3"/>
      <c r="U94" s="3"/>
      <c r="V94" s="3"/>
      <c r="W94" s="3"/>
      <c r="X94" s="3"/>
      <c r="Y94" s="3"/>
      <c r="Z94" s="3"/>
      <c r="AA94" s="3"/>
    </row>
    <row r="95" spans="1:27" x14ac:dyDescent="0.2">
      <c r="A95" s="1" t="str">
        <f ca="1">IFERROR(__xludf.DUMMYFUNCTION("LEFT(A94, 4) &amp; TEXT(REGEXEXTRACT(A94, ""-(\d+)"") + 1, ""000"")"),"ADV-093")</f>
        <v>ADV-093</v>
      </c>
      <c r="B95" s="1" t="str">
        <f t="shared" si="0"/>
        <v>RECUPERAÇÃO ALÍGERA | 5</v>
      </c>
      <c r="C95" s="1" t="s">
        <v>146</v>
      </c>
      <c r="D95" s="1">
        <v>5</v>
      </c>
      <c r="E95" s="2" t="s">
        <v>30</v>
      </c>
      <c r="F95" s="2" t="s">
        <v>147</v>
      </c>
      <c r="G95" s="2" t="s">
        <v>11</v>
      </c>
      <c r="H95" s="2">
        <v>23</v>
      </c>
      <c r="I95" s="3"/>
      <c r="J95" s="3"/>
      <c r="K95" s="3"/>
      <c r="L95" s="3"/>
      <c r="M95" s="3"/>
      <c r="N95" s="3"/>
      <c r="O95" s="3"/>
      <c r="P95" s="3"/>
      <c r="Q95" s="3"/>
      <c r="R95" s="3"/>
      <c r="S95" s="3"/>
      <c r="T95" s="3"/>
      <c r="U95" s="3"/>
      <c r="V95" s="3"/>
      <c r="W95" s="3"/>
      <c r="X95" s="3"/>
      <c r="Y95" s="3"/>
      <c r="Z95" s="3"/>
      <c r="AA95" s="3"/>
    </row>
    <row r="96" spans="1:27" x14ac:dyDescent="0.2">
      <c r="A96" s="1" t="str">
        <f ca="1">IFERROR(__xludf.DUMMYFUNCTION("LEFT(A95, 4) &amp; TEXT(REGEXEXTRACT(A95, ""-(\d+)"") + 1, ""000"")"),"ADV-094")</f>
        <v>ADV-094</v>
      </c>
      <c r="B96" s="1" t="str">
        <f t="shared" si="0"/>
        <v>RIJEZA +1 | 10</v>
      </c>
      <c r="C96" s="1" t="s">
        <v>148</v>
      </c>
      <c r="D96" s="1">
        <v>10</v>
      </c>
      <c r="E96" s="2" t="s">
        <v>30</v>
      </c>
      <c r="F96" s="2" t="s">
        <v>149</v>
      </c>
      <c r="G96" s="2" t="s">
        <v>11</v>
      </c>
      <c r="H96" s="2">
        <v>23</v>
      </c>
      <c r="I96" s="3"/>
      <c r="J96" s="3"/>
      <c r="K96" s="3"/>
      <c r="L96" s="3"/>
      <c r="M96" s="3"/>
      <c r="N96" s="3"/>
      <c r="O96" s="3"/>
      <c r="P96" s="3"/>
      <c r="Q96" s="3"/>
      <c r="R96" s="3"/>
      <c r="S96" s="3"/>
      <c r="T96" s="3"/>
      <c r="U96" s="3"/>
      <c r="V96" s="3"/>
      <c r="W96" s="3"/>
      <c r="X96" s="3"/>
      <c r="Y96" s="3"/>
      <c r="Z96" s="3"/>
      <c r="AA96" s="3"/>
    </row>
    <row r="97" spans="1:27" x14ac:dyDescent="0.2">
      <c r="A97" s="1" t="str">
        <f ca="1">IFERROR(__xludf.DUMMYFUNCTION("LEFT(A96, 4) &amp; TEXT(REGEXEXTRACT(A96, ""-(\d+)"") + 1, ""000"")"),"ADV-095")</f>
        <v>ADV-095</v>
      </c>
      <c r="B97" s="1" t="str">
        <f t="shared" si="0"/>
        <v>RIJEZA +2 | 25</v>
      </c>
      <c r="C97" s="1" t="s">
        <v>150</v>
      </c>
      <c r="D97" s="1">
        <v>25</v>
      </c>
      <c r="E97" s="2" t="s">
        <v>30</v>
      </c>
      <c r="F97" s="2" t="s">
        <v>149</v>
      </c>
      <c r="G97" s="2" t="s">
        <v>11</v>
      </c>
      <c r="H97" s="2">
        <v>23</v>
      </c>
      <c r="I97" s="3"/>
      <c r="J97" s="3"/>
      <c r="K97" s="3"/>
      <c r="L97" s="3"/>
      <c r="M97" s="3"/>
      <c r="N97" s="3"/>
      <c r="O97" s="3"/>
      <c r="P97" s="3"/>
      <c r="Q97" s="3"/>
      <c r="R97" s="3"/>
      <c r="S97" s="3"/>
      <c r="T97" s="3"/>
      <c r="U97" s="3"/>
      <c r="V97" s="3"/>
      <c r="W97" s="3"/>
      <c r="X97" s="3"/>
      <c r="Y97" s="3"/>
      <c r="Z97" s="3"/>
      <c r="AA97" s="3"/>
    </row>
    <row r="98" spans="1:27" x14ac:dyDescent="0.2">
      <c r="A98" s="1" t="str">
        <f ca="1">IFERROR(__xludf.DUMMYFUNCTION("LEFT(A97, 4) &amp; TEXT(REGEXEXTRACT(A97, ""-(\d+)"") + 1, ""000"")"),"ADV-096")</f>
        <v>ADV-096</v>
      </c>
      <c r="B98" s="1" t="str">
        <f t="shared" si="0"/>
        <v>VOZ MELODIOSA | 10</v>
      </c>
      <c r="C98" s="1" t="s">
        <v>151</v>
      </c>
      <c r="D98" s="1">
        <v>10</v>
      </c>
      <c r="E98" s="2" t="s">
        <v>9</v>
      </c>
      <c r="F98" s="2" t="s">
        <v>152</v>
      </c>
      <c r="G98" s="2" t="s">
        <v>11</v>
      </c>
      <c r="H98" s="2">
        <v>23</v>
      </c>
      <c r="I98" s="3"/>
      <c r="J98" s="3"/>
      <c r="K98" s="3"/>
      <c r="L98" s="3"/>
      <c r="M98" s="3"/>
      <c r="N98" s="3"/>
      <c r="O98" s="3"/>
      <c r="P98" s="3"/>
      <c r="Q98" s="3"/>
      <c r="R98" s="3"/>
      <c r="S98" s="3"/>
      <c r="T98" s="3"/>
      <c r="U98" s="3"/>
      <c r="V98" s="3"/>
      <c r="W98" s="3"/>
      <c r="X98" s="3"/>
      <c r="Y98" s="3"/>
      <c r="Z98" s="3"/>
      <c r="AA98" s="3"/>
    </row>
    <row r="99" spans="1:27"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spans="1:27"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spans="1:27"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spans="1:27"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spans="1:27"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spans="1:27"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spans="1:27"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spans="1:27"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spans="1:27"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spans="1:27"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3"/>
  <sheetViews>
    <sheetView tabSelected="1" workbookViewId="0">
      <selection activeCell="F13" sqref="F13"/>
    </sheetView>
  </sheetViews>
  <sheetFormatPr defaultColWidth="12.5703125" defaultRowHeight="15.75" customHeight="1" x14ac:dyDescent="0.2"/>
  <cols>
    <col min="1" max="1" width="13.140625" customWidth="1"/>
    <col min="2" max="2" width="34.140625" customWidth="1"/>
    <col min="3" max="3" width="30.42578125" customWidth="1"/>
    <col min="4" max="4" width="14.85546875" customWidth="1"/>
    <col min="5" max="5" width="15" customWidth="1"/>
    <col min="6" max="6" width="63.5703125" customWidth="1"/>
    <col min="7" max="8" width="21.42578125" customWidth="1"/>
  </cols>
  <sheetData>
    <row r="1" spans="1:26" x14ac:dyDescent="0.2">
      <c r="A1" s="4" t="s">
        <v>153</v>
      </c>
      <c r="B1" s="4" t="s">
        <v>154</v>
      </c>
      <c r="C1" s="4" t="s">
        <v>155</v>
      </c>
      <c r="D1" s="4" t="s">
        <v>156</v>
      </c>
      <c r="E1" s="3" t="s">
        <v>157</v>
      </c>
      <c r="F1" s="3" t="s">
        <v>158</v>
      </c>
      <c r="G1" s="4" t="s">
        <v>357</v>
      </c>
      <c r="H1" s="3" t="s">
        <v>159</v>
      </c>
      <c r="I1" s="3"/>
      <c r="J1" s="3"/>
      <c r="K1" s="3"/>
      <c r="L1" s="3"/>
      <c r="M1" s="3"/>
      <c r="N1" s="3"/>
      <c r="O1" s="3"/>
      <c r="P1" s="3"/>
      <c r="Q1" s="3"/>
      <c r="R1" s="3"/>
      <c r="S1" s="3"/>
      <c r="T1" s="3"/>
      <c r="U1" s="3"/>
      <c r="V1" s="3"/>
      <c r="W1" s="3"/>
      <c r="X1" s="3"/>
      <c r="Y1" s="3"/>
      <c r="Z1" s="3"/>
    </row>
    <row r="2" spans="1:26" x14ac:dyDescent="0.2">
      <c r="A2" s="4" t="s">
        <v>160</v>
      </c>
      <c r="B2" s="4" t="str">
        <f t="shared" ref="B2:B114" si="0">CONCATENATE(C2," | ",D2)</f>
        <v>APARÊNCIA DESAGRADÁVEL | -5</v>
      </c>
      <c r="C2" s="4" t="s">
        <v>161</v>
      </c>
      <c r="D2" s="4">
        <v>-5</v>
      </c>
      <c r="E2" s="3" t="s">
        <v>30</v>
      </c>
      <c r="F2" s="3" t="s">
        <v>162</v>
      </c>
      <c r="G2" s="3" t="s">
        <v>11</v>
      </c>
      <c r="H2" s="3">
        <v>15</v>
      </c>
      <c r="I2" s="3"/>
      <c r="J2" s="3"/>
      <c r="K2" s="3"/>
      <c r="L2" s="3"/>
      <c r="M2" s="3"/>
      <c r="N2" s="3"/>
      <c r="O2" s="3"/>
      <c r="P2" s="3"/>
      <c r="Q2" s="3"/>
      <c r="R2" s="3"/>
      <c r="S2" s="3"/>
      <c r="T2" s="3"/>
      <c r="U2" s="3"/>
      <c r="V2" s="3"/>
      <c r="W2" s="3"/>
      <c r="X2" s="3"/>
      <c r="Y2" s="3"/>
      <c r="Z2" s="3"/>
    </row>
    <row r="3" spans="1:26" x14ac:dyDescent="0.2">
      <c r="A3" s="4" t="str">
        <f ca="1">IFERROR(__xludf.DUMMYFUNCTION("LEFT(A2, 4) &amp; TEXT(REGEXEXTRACT(A2, ""-(\d+)"") + 1, ""000"")"),"DIS-001")</f>
        <v>DIS-001</v>
      </c>
      <c r="B3" s="4" t="str">
        <f t="shared" si="0"/>
        <v>FEIO | -10</v>
      </c>
      <c r="C3" s="4" t="s">
        <v>163</v>
      </c>
      <c r="D3" s="4">
        <v>-10</v>
      </c>
      <c r="E3" s="3" t="s">
        <v>30</v>
      </c>
      <c r="F3" s="3" t="s">
        <v>164</v>
      </c>
      <c r="G3" s="3" t="s">
        <v>11</v>
      </c>
      <c r="H3" s="3">
        <v>15</v>
      </c>
      <c r="I3" s="3"/>
      <c r="J3" s="3"/>
      <c r="K3" s="3"/>
      <c r="L3" s="3"/>
      <c r="M3" s="3"/>
      <c r="N3" s="3"/>
      <c r="O3" s="3"/>
      <c r="P3" s="3"/>
      <c r="Q3" s="3"/>
      <c r="R3" s="3"/>
      <c r="S3" s="3"/>
      <c r="T3" s="3"/>
      <c r="U3" s="3"/>
      <c r="V3" s="3"/>
      <c r="W3" s="3"/>
      <c r="X3" s="3"/>
      <c r="Y3" s="3"/>
      <c r="Z3" s="3"/>
    </row>
    <row r="4" spans="1:26" x14ac:dyDescent="0.2">
      <c r="A4" s="4" t="str">
        <f ca="1">IFERROR(__xludf.DUMMYFUNCTION("LEFT(A3, 4) &amp; TEXT(REGEXEXTRACT(A3, ""-(\d+)"") + 1, ""000"")"),"DIS-002")</f>
        <v>DIS-002</v>
      </c>
      <c r="B4" s="4" t="str">
        <f t="shared" si="0"/>
        <v>HEDIONDO | -20</v>
      </c>
      <c r="C4" s="4" t="s">
        <v>165</v>
      </c>
      <c r="D4" s="4">
        <v>-20</v>
      </c>
      <c r="E4" s="3" t="s">
        <v>30</v>
      </c>
      <c r="F4" s="3" t="s">
        <v>166</v>
      </c>
      <c r="G4" s="3" t="s">
        <v>11</v>
      </c>
      <c r="H4" s="3">
        <v>15</v>
      </c>
      <c r="I4" s="3"/>
      <c r="J4" s="3"/>
      <c r="K4" s="3"/>
      <c r="L4" s="3"/>
      <c r="M4" s="3"/>
      <c r="N4" s="3"/>
      <c r="O4" s="3"/>
      <c r="P4" s="3"/>
      <c r="Q4" s="3"/>
      <c r="R4" s="3"/>
      <c r="S4" s="3"/>
      <c r="T4" s="3"/>
      <c r="U4" s="3"/>
      <c r="V4" s="3"/>
      <c r="W4" s="3"/>
      <c r="X4" s="3"/>
      <c r="Y4" s="3"/>
      <c r="Z4" s="3"/>
    </row>
    <row r="5" spans="1:26" x14ac:dyDescent="0.2">
      <c r="A5" s="4" t="str">
        <f ca="1">IFERROR(__xludf.DUMMYFUNCTION("LEFT(A4, 4) &amp; TEXT(REGEXEXTRACT(A4, ""-(\d+)"") + 1, ""000"")"),"DIS-003")</f>
        <v>DIS-003</v>
      </c>
      <c r="B5" s="4" t="str">
        <f t="shared" si="0"/>
        <v>BATALHADOR | -10</v>
      </c>
      <c r="C5" s="4" t="s">
        <v>167</v>
      </c>
      <c r="D5" s="4">
        <v>-10</v>
      </c>
      <c r="E5" s="3" t="s">
        <v>9</v>
      </c>
      <c r="F5" s="3" t="s">
        <v>168</v>
      </c>
      <c r="G5" s="3" t="s">
        <v>11</v>
      </c>
      <c r="H5" s="3">
        <v>16</v>
      </c>
      <c r="I5" s="3"/>
      <c r="J5" s="3"/>
      <c r="K5" s="3"/>
      <c r="L5" s="3"/>
      <c r="M5" s="3"/>
      <c r="N5" s="3"/>
      <c r="O5" s="3"/>
      <c r="P5" s="3"/>
      <c r="Q5" s="3"/>
      <c r="R5" s="3"/>
      <c r="S5" s="3"/>
      <c r="T5" s="3"/>
      <c r="U5" s="3"/>
      <c r="V5" s="3"/>
      <c r="W5" s="3"/>
      <c r="X5" s="3"/>
      <c r="Y5" s="3"/>
      <c r="Z5" s="3"/>
    </row>
    <row r="6" spans="1:26" x14ac:dyDescent="0.2">
      <c r="A6" s="4" t="str">
        <f ca="1">IFERROR(__xludf.DUMMYFUNCTION("LEFT(A5, 4) &amp; TEXT(REGEXEXTRACT(A5, ""-(\d+)"") + 1, ""000"")"),"DIS-004")</f>
        <v>DIS-004</v>
      </c>
      <c r="B6" s="4" t="str">
        <f t="shared" si="0"/>
        <v>POBRE | -15</v>
      </c>
      <c r="C6" s="4" t="s">
        <v>169</v>
      </c>
      <c r="D6" s="4">
        <v>-15</v>
      </c>
      <c r="E6" s="3" t="s">
        <v>9</v>
      </c>
      <c r="F6" s="3" t="s">
        <v>170</v>
      </c>
      <c r="G6" s="3" t="s">
        <v>11</v>
      </c>
      <c r="H6" s="3">
        <v>16</v>
      </c>
      <c r="I6" s="3"/>
      <c r="J6" s="3"/>
      <c r="K6" s="3"/>
      <c r="L6" s="3"/>
      <c r="M6" s="3"/>
      <c r="N6" s="3"/>
      <c r="O6" s="3"/>
      <c r="P6" s="3"/>
      <c r="Q6" s="3"/>
      <c r="R6" s="3"/>
      <c r="S6" s="3"/>
      <c r="T6" s="3"/>
      <c r="U6" s="3"/>
      <c r="V6" s="3"/>
      <c r="W6" s="3"/>
      <c r="X6" s="3"/>
      <c r="Y6" s="3"/>
      <c r="Z6" s="3"/>
    </row>
    <row r="7" spans="1:26" x14ac:dyDescent="0.2">
      <c r="A7" s="4" t="str">
        <f ca="1">IFERROR(__xludf.DUMMYFUNCTION("LEFT(A6, 4) &amp; TEXT(REGEXEXTRACT(A6, ""-(\d+)"") + 1, ""000"")"),"DIS-005")</f>
        <v>DIS-005</v>
      </c>
      <c r="B7" s="4" t="str">
        <f t="shared" si="0"/>
        <v>FALIDO | -25</v>
      </c>
      <c r="C7" s="4" t="s">
        <v>171</v>
      </c>
      <c r="D7" s="4">
        <v>-25</v>
      </c>
      <c r="E7" s="3" t="s">
        <v>9</v>
      </c>
      <c r="F7" s="3" t="s">
        <v>172</v>
      </c>
      <c r="G7" s="3" t="s">
        <v>11</v>
      </c>
      <c r="H7" s="3">
        <v>16</v>
      </c>
      <c r="I7" s="3"/>
      <c r="J7" s="3"/>
      <c r="K7" s="3"/>
      <c r="L7" s="3"/>
      <c r="M7" s="3"/>
      <c r="N7" s="3"/>
      <c r="O7" s="3"/>
      <c r="P7" s="3"/>
      <c r="Q7" s="3"/>
      <c r="R7" s="3"/>
      <c r="S7" s="3"/>
      <c r="T7" s="3"/>
      <c r="U7" s="3"/>
      <c r="V7" s="3"/>
      <c r="W7" s="3"/>
      <c r="X7" s="3"/>
      <c r="Y7" s="3"/>
      <c r="Z7" s="3"/>
    </row>
    <row r="8" spans="1:26" x14ac:dyDescent="0.2">
      <c r="A8" s="4" t="str">
        <f ca="1">IFERROR(__xludf.DUMMYFUNCTION("LEFT(A7, 4) &amp; TEXT(REGEXEXTRACT(A7, ""-(\d+)"") + 1, ""000"")"),"DIS-006")</f>
        <v>DIS-006</v>
      </c>
      <c r="B8" s="4" t="str">
        <f t="shared" si="0"/>
        <v>REPUTAÇÃO -1 | -5</v>
      </c>
      <c r="C8" s="4" t="s">
        <v>173</v>
      </c>
      <c r="D8" s="4">
        <v>-5</v>
      </c>
      <c r="E8" s="3" t="s">
        <v>9</v>
      </c>
      <c r="F8" s="3" t="s">
        <v>25</v>
      </c>
      <c r="G8" s="3" t="s">
        <v>11</v>
      </c>
      <c r="H8" s="3">
        <v>17</v>
      </c>
      <c r="I8" s="3"/>
      <c r="J8" s="3"/>
      <c r="K8" s="3"/>
      <c r="L8" s="3"/>
      <c r="M8" s="3"/>
      <c r="N8" s="3"/>
      <c r="O8" s="3"/>
      <c r="P8" s="3"/>
      <c r="Q8" s="3"/>
      <c r="R8" s="3"/>
      <c r="S8" s="3"/>
      <c r="T8" s="3"/>
      <c r="U8" s="3"/>
      <c r="V8" s="3"/>
      <c r="W8" s="3"/>
      <c r="X8" s="3"/>
      <c r="Y8" s="3"/>
      <c r="Z8" s="3"/>
    </row>
    <row r="9" spans="1:26" x14ac:dyDescent="0.2">
      <c r="A9" s="4" t="str">
        <f ca="1">IFERROR(__xludf.DUMMYFUNCTION("LEFT(A8, 4) &amp; TEXT(REGEXEXTRACT(A8, ""-(\d+)"") + 1, ""000"")"),"DIS-007")</f>
        <v>DIS-007</v>
      </c>
      <c r="B9" s="4" t="str">
        <f t="shared" si="0"/>
        <v>REPUTAÇÃO -2 | -10</v>
      </c>
      <c r="C9" s="4" t="s">
        <v>174</v>
      </c>
      <c r="D9" s="4">
        <v>-10</v>
      </c>
      <c r="E9" s="3" t="s">
        <v>9</v>
      </c>
      <c r="F9" s="3" t="s">
        <v>25</v>
      </c>
      <c r="G9" s="3" t="s">
        <v>11</v>
      </c>
      <c r="H9" s="3">
        <v>17</v>
      </c>
      <c r="I9" s="3"/>
      <c r="J9" s="3"/>
      <c r="K9" s="3"/>
      <c r="L9" s="3"/>
      <c r="M9" s="3"/>
      <c r="N9" s="3"/>
      <c r="O9" s="3"/>
      <c r="P9" s="3"/>
      <c r="Q9" s="3"/>
      <c r="R9" s="3"/>
      <c r="S9" s="3"/>
      <c r="T9" s="3"/>
      <c r="U9" s="3"/>
      <c r="V9" s="3"/>
      <c r="W9" s="3"/>
      <c r="X9" s="3"/>
      <c r="Y9" s="3"/>
      <c r="Z9" s="3"/>
    </row>
    <row r="10" spans="1:26" x14ac:dyDescent="0.2">
      <c r="A10" s="4" t="str">
        <f ca="1">IFERROR(__xludf.DUMMYFUNCTION("LEFT(A9, 4) &amp; TEXT(REGEXEXTRACT(A9, ""-(\d+)"") + 1, ""000"")"),"DIS-008")</f>
        <v>DIS-008</v>
      </c>
      <c r="B10" s="4" t="str">
        <f t="shared" si="0"/>
        <v>REPUTAÇÃO -3 | 15</v>
      </c>
      <c r="C10" s="4" t="s">
        <v>175</v>
      </c>
      <c r="D10" s="4">
        <v>15</v>
      </c>
      <c r="E10" s="3" t="s">
        <v>9</v>
      </c>
      <c r="F10" s="3" t="s">
        <v>25</v>
      </c>
      <c r="G10" s="3" t="s">
        <v>11</v>
      </c>
      <c r="H10" s="3">
        <v>17</v>
      </c>
      <c r="I10" s="3"/>
      <c r="J10" s="3"/>
      <c r="K10" s="3"/>
      <c r="L10" s="3"/>
      <c r="M10" s="3"/>
      <c r="N10" s="3"/>
      <c r="O10" s="3"/>
      <c r="P10" s="3"/>
      <c r="Q10" s="3"/>
      <c r="R10" s="3"/>
      <c r="S10" s="3"/>
      <c r="T10" s="3"/>
      <c r="U10" s="3"/>
      <c r="V10" s="3"/>
      <c r="W10" s="3"/>
      <c r="X10" s="3"/>
      <c r="Y10" s="3"/>
      <c r="Z10" s="3"/>
    </row>
    <row r="11" spans="1:26" x14ac:dyDescent="0.2">
      <c r="A11" s="4" t="str">
        <f ca="1">IFERROR(__xludf.DUMMYFUNCTION("LEFT(A10, 4) &amp; TEXT(REGEXEXTRACT(A10, ""-(\d+)"") + 1, ""000"")"),"DIS-009")</f>
        <v>DIS-009</v>
      </c>
      <c r="B11" s="4" t="str">
        <f t="shared" si="0"/>
        <v>REPUTAÇÃO -4 | 20</v>
      </c>
      <c r="C11" s="4" t="s">
        <v>176</v>
      </c>
      <c r="D11" s="4">
        <v>20</v>
      </c>
      <c r="E11" s="3" t="s">
        <v>9</v>
      </c>
      <c r="F11" s="3" t="s">
        <v>25</v>
      </c>
      <c r="G11" s="3" t="s">
        <v>11</v>
      </c>
      <c r="H11" s="3">
        <v>17</v>
      </c>
      <c r="I11" s="3"/>
      <c r="J11" s="3"/>
      <c r="K11" s="3"/>
      <c r="L11" s="3"/>
      <c r="M11" s="3"/>
      <c r="N11" s="3"/>
      <c r="O11" s="3"/>
      <c r="P11" s="3"/>
      <c r="Q11" s="3"/>
      <c r="R11" s="3"/>
      <c r="S11" s="3"/>
      <c r="T11" s="3"/>
      <c r="U11" s="3"/>
      <c r="V11" s="3"/>
      <c r="W11" s="3"/>
      <c r="X11" s="3"/>
      <c r="Y11" s="3"/>
      <c r="Z11" s="3"/>
    </row>
    <row r="12" spans="1:26" x14ac:dyDescent="0.2">
      <c r="A12" s="4" t="str">
        <f ca="1">IFERROR(__xludf.DUMMYFUNCTION("LEFT(A11, 4) &amp; TEXT(REGEXEXTRACT(A11, ""-(\d+)"") + 1, ""000"")"),"DIS-010")</f>
        <v>DIS-010</v>
      </c>
      <c r="B12" s="4" t="str">
        <f t="shared" si="0"/>
        <v>HABITO LEVE | -5</v>
      </c>
      <c r="C12" s="4" t="s">
        <v>177</v>
      </c>
      <c r="D12" s="4">
        <v>-5</v>
      </c>
      <c r="E12" s="3" t="s">
        <v>9</v>
      </c>
      <c r="F12" s="3" t="s">
        <v>178</v>
      </c>
      <c r="G12" s="3" t="s">
        <v>11</v>
      </c>
      <c r="H12" s="3">
        <v>26</v>
      </c>
      <c r="I12" s="3"/>
      <c r="J12" s="3"/>
      <c r="K12" s="3"/>
      <c r="L12" s="3"/>
      <c r="M12" s="3"/>
      <c r="N12" s="3"/>
      <c r="O12" s="3"/>
      <c r="P12" s="3"/>
      <c r="Q12" s="3"/>
      <c r="R12" s="3"/>
      <c r="S12" s="3"/>
      <c r="T12" s="3"/>
      <c r="U12" s="3"/>
      <c r="V12" s="3"/>
      <c r="W12" s="3"/>
      <c r="X12" s="3"/>
      <c r="Y12" s="3"/>
      <c r="Z12" s="3"/>
    </row>
    <row r="13" spans="1:26" x14ac:dyDescent="0.2">
      <c r="A13" s="4" t="str">
        <f ca="1">IFERROR(__xludf.DUMMYFUNCTION("LEFT(A12, 4) &amp; TEXT(REGEXEXTRACT(A12, ""-(\d+)"") + 1, ""000"")"),"DIS-011")</f>
        <v>DIS-011</v>
      </c>
      <c r="B13" s="4" t="str">
        <f t="shared" si="0"/>
        <v>HABITO DETESTÁVEL | -10</v>
      </c>
      <c r="C13" s="4" t="s">
        <v>179</v>
      </c>
      <c r="D13" s="4">
        <v>-10</v>
      </c>
      <c r="E13" s="3" t="s">
        <v>9</v>
      </c>
      <c r="F13" s="3" t="s">
        <v>178</v>
      </c>
      <c r="G13" s="3" t="s">
        <v>11</v>
      </c>
      <c r="H13" s="3">
        <v>26</v>
      </c>
      <c r="I13" s="3"/>
      <c r="J13" s="3"/>
      <c r="K13" s="3"/>
      <c r="L13" s="3"/>
      <c r="M13" s="3"/>
      <c r="N13" s="3"/>
      <c r="O13" s="3"/>
      <c r="P13" s="3"/>
      <c r="Q13" s="3"/>
      <c r="R13" s="3"/>
      <c r="S13" s="3"/>
      <c r="T13" s="3"/>
      <c r="U13" s="3"/>
      <c r="V13" s="3"/>
      <c r="W13" s="3"/>
      <c r="X13" s="3"/>
      <c r="Y13" s="3"/>
      <c r="Z13" s="3"/>
    </row>
    <row r="14" spans="1:26" x14ac:dyDescent="0.2">
      <c r="A14" s="4" t="str">
        <f ca="1">IFERROR(__xludf.DUMMYFUNCTION("LEFT(A13, 4) &amp; TEXT(REGEXEXTRACT(A13, ""-(\d+)"") + 1, ""000"")"),"DIS-012")</f>
        <v>DIS-012</v>
      </c>
      <c r="B14" s="4" t="str">
        <f t="shared" si="0"/>
        <v>HABITO PESADO | -15</v>
      </c>
      <c r="C14" s="4" t="s">
        <v>180</v>
      </c>
      <c r="D14" s="4">
        <v>-15</v>
      </c>
      <c r="E14" s="3" t="s">
        <v>9</v>
      </c>
      <c r="F14" s="3" t="s">
        <v>178</v>
      </c>
      <c r="G14" s="3" t="s">
        <v>11</v>
      </c>
      <c r="H14" s="3">
        <v>26</v>
      </c>
      <c r="I14" s="3"/>
      <c r="J14" s="3"/>
      <c r="K14" s="3"/>
      <c r="L14" s="3"/>
      <c r="M14" s="3"/>
      <c r="N14" s="3"/>
      <c r="O14" s="3"/>
      <c r="P14" s="3"/>
      <c r="Q14" s="3"/>
      <c r="R14" s="3"/>
      <c r="S14" s="3"/>
      <c r="T14" s="3"/>
      <c r="U14" s="3"/>
      <c r="V14" s="3"/>
      <c r="W14" s="3"/>
      <c r="X14" s="3"/>
      <c r="Y14" s="3"/>
      <c r="Z14" s="3"/>
    </row>
    <row r="15" spans="1:26" x14ac:dyDescent="0.2">
      <c r="A15" s="4" t="str">
        <f ca="1">IFERROR(__xludf.DUMMYFUNCTION("LEFT(A14, 4) &amp; TEXT(REGEXEXTRACT(A14, ""-(\d+)"") + 1, ""000"")"),"DIS-013")</f>
        <v>DIS-013</v>
      </c>
      <c r="B15" s="4" t="str">
        <f t="shared" si="0"/>
        <v>PRIMITIVISMO 1 | -5</v>
      </c>
      <c r="C15" s="4" t="s">
        <v>181</v>
      </c>
      <c r="D15" s="4">
        <v>-5</v>
      </c>
      <c r="E15" s="3" t="s">
        <v>9</v>
      </c>
      <c r="F15" s="3" t="s">
        <v>182</v>
      </c>
      <c r="G15" s="3" t="s">
        <v>11</v>
      </c>
      <c r="H15" s="3">
        <v>26</v>
      </c>
      <c r="I15" s="3"/>
      <c r="J15" s="3"/>
      <c r="K15" s="3"/>
      <c r="L15" s="3"/>
      <c r="M15" s="3"/>
      <c r="N15" s="3"/>
      <c r="O15" s="3"/>
      <c r="P15" s="3"/>
      <c r="Q15" s="3"/>
      <c r="R15" s="3"/>
      <c r="S15" s="3"/>
      <c r="T15" s="3"/>
      <c r="U15" s="3"/>
      <c r="V15" s="3"/>
      <c r="W15" s="3"/>
      <c r="X15" s="3"/>
      <c r="Y15" s="3"/>
      <c r="Z15" s="3"/>
    </row>
    <row r="16" spans="1:26" x14ac:dyDescent="0.2">
      <c r="A16" s="4" t="str">
        <f ca="1">IFERROR(__xludf.DUMMYFUNCTION("LEFT(A15, 4) &amp; TEXT(REGEXEXTRACT(A15, ""-(\d+)"") + 1, ""000"")"),"DIS-014")</f>
        <v>DIS-014</v>
      </c>
      <c r="B16" s="4" t="str">
        <f t="shared" si="0"/>
        <v>PRIMITIVISMO 2 | -10</v>
      </c>
      <c r="C16" s="4" t="s">
        <v>183</v>
      </c>
      <c r="D16" s="4">
        <v>-10</v>
      </c>
      <c r="E16" s="3" t="s">
        <v>9</v>
      </c>
      <c r="F16" s="3" t="s">
        <v>182</v>
      </c>
      <c r="G16" s="3" t="s">
        <v>11</v>
      </c>
      <c r="H16" s="3">
        <v>26</v>
      </c>
      <c r="I16" s="3"/>
      <c r="J16" s="3"/>
      <c r="K16" s="3"/>
      <c r="L16" s="3"/>
      <c r="M16" s="3"/>
      <c r="N16" s="3"/>
      <c r="O16" s="3"/>
      <c r="P16" s="3"/>
      <c r="Q16" s="3"/>
      <c r="R16" s="3"/>
      <c r="S16" s="3"/>
      <c r="T16" s="3"/>
      <c r="U16" s="3"/>
      <c r="V16" s="3"/>
      <c r="W16" s="3"/>
      <c r="X16" s="3"/>
      <c r="Y16" s="3"/>
      <c r="Z16" s="3"/>
    </row>
    <row r="17" spans="1:26" x14ac:dyDescent="0.2">
      <c r="A17" s="4" t="str">
        <f ca="1">IFERROR(__xludf.DUMMYFUNCTION("LEFT(A16, 4) &amp; TEXT(REGEXEXTRACT(A16, ""-(\d+)"") + 1, ""000"")"),"DIS-015")</f>
        <v>DIS-015</v>
      </c>
      <c r="B17" s="4" t="str">
        <f t="shared" si="0"/>
        <v>PRIMITIVISMO 3 | -15</v>
      </c>
      <c r="C17" s="4" t="s">
        <v>184</v>
      </c>
      <c r="D17" s="4">
        <v>-15</v>
      </c>
      <c r="E17" s="3" t="s">
        <v>9</v>
      </c>
      <c r="F17" s="3" t="s">
        <v>182</v>
      </c>
      <c r="G17" s="3" t="s">
        <v>11</v>
      </c>
      <c r="H17" s="3">
        <v>26</v>
      </c>
      <c r="I17" s="3"/>
      <c r="J17" s="3"/>
      <c r="K17" s="3"/>
      <c r="L17" s="3"/>
      <c r="M17" s="3"/>
      <c r="N17" s="3"/>
      <c r="O17" s="3"/>
      <c r="P17" s="3"/>
      <c r="Q17" s="3"/>
      <c r="R17" s="3"/>
      <c r="S17" s="3"/>
      <c r="T17" s="3"/>
      <c r="U17" s="3"/>
      <c r="V17" s="3"/>
      <c r="W17" s="3"/>
      <c r="X17" s="3"/>
      <c r="Y17" s="3"/>
      <c r="Z17" s="3"/>
    </row>
    <row r="18" spans="1:26" x14ac:dyDescent="0.2">
      <c r="A18" s="4" t="str">
        <f ca="1">IFERROR(__xludf.DUMMYFUNCTION("LEFT(A17, 4) &amp; TEXT(REGEXEXTRACT(A17, ""-(\d+)"") + 1, ""000"")"),"DIS-016")</f>
        <v>DIS-016</v>
      </c>
      <c r="B18" s="4" t="str">
        <f t="shared" si="0"/>
        <v>PRIMITIVISMO 4 | -20</v>
      </c>
      <c r="C18" s="4" t="s">
        <v>185</v>
      </c>
      <c r="D18" s="4">
        <v>-20</v>
      </c>
      <c r="E18" s="3" t="s">
        <v>9</v>
      </c>
      <c r="F18" s="3" t="s">
        <v>182</v>
      </c>
      <c r="G18" s="3" t="s">
        <v>11</v>
      </c>
      <c r="H18" s="3">
        <v>26</v>
      </c>
      <c r="I18" s="3"/>
      <c r="J18" s="3"/>
      <c r="K18" s="3"/>
      <c r="L18" s="3"/>
      <c r="M18" s="3"/>
      <c r="N18" s="3"/>
      <c r="O18" s="3"/>
      <c r="P18" s="3"/>
      <c r="Q18" s="3"/>
      <c r="R18" s="3"/>
      <c r="S18" s="3"/>
      <c r="T18" s="3"/>
      <c r="U18" s="3"/>
      <c r="V18" s="3"/>
      <c r="W18" s="3"/>
      <c r="X18" s="3"/>
      <c r="Y18" s="3"/>
      <c r="Z18" s="3"/>
    </row>
    <row r="19" spans="1:26" x14ac:dyDescent="0.2">
      <c r="A19" s="4" t="str">
        <f ca="1">IFERROR(__xludf.DUMMYFUNCTION("LEFT(A18, 4) &amp; TEXT(REGEXEXTRACT(A18, ""-(\d+)"") + 1, ""000"")"),"DIS-017")</f>
        <v>DIS-017</v>
      </c>
      <c r="B19" s="4" t="str">
        <f t="shared" si="0"/>
        <v>ALBINISMO | -10</v>
      </c>
      <c r="C19" s="4" t="s">
        <v>186</v>
      </c>
      <c r="D19" s="4">
        <v>-10</v>
      </c>
      <c r="E19" s="3" t="s">
        <v>30</v>
      </c>
      <c r="F19" s="3" t="s">
        <v>187</v>
      </c>
      <c r="G19" s="3" t="s">
        <v>11</v>
      </c>
      <c r="H19" s="3">
        <v>27</v>
      </c>
      <c r="I19" s="3"/>
      <c r="J19" s="3"/>
      <c r="K19" s="3"/>
      <c r="L19" s="3"/>
      <c r="M19" s="3"/>
      <c r="N19" s="3"/>
      <c r="O19" s="3"/>
      <c r="P19" s="3"/>
      <c r="Q19" s="3"/>
      <c r="R19" s="3"/>
      <c r="S19" s="3"/>
      <c r="T19" s="3"/>
      <c r="U19" s="3"/>
      <c r="V19" s="3"/>
      <c r="W19" s="3"/>
      <c r="X19" s="3"/>
      <c r="Y19" s="3"/>
      <c r="Z19" s="3"/>
    </row>
    <row r="20" spans="1:26" x14ac:dyDescent="0.2">
      <c r="A20" s="4" t="str">
        <f ca="1">IFERROR(__xludf.DUMMYFUNCTION("LEFT(A19, 4) &amp; TEXT(REGEXEXTRACT(A19, ""-(\d+)"") + 1, ""000"")"),"DIS-018")</f>
        <v>DIS-018</v>
      </c>
      <c r="B20" s="4" t="str">
        <f t="shared" si="0"/>
        <v>CEGUEIRA | -50</v>
      </c>
      <c r="C20" s="4" t="s">
        <v>188</v>
      </c>
      <c r="D20" s="4">
        <v>-50</v>
      </c>
      <c r="E20" s="3" t="s">
        <v>30</v>
      </c>
      <c r="F20" s="3" t="s">
        <v>189</v>
      </c>
      <c r="G20" s="3" t="s">
        <v>11</v>
      </c>
      <c r="H20" s="3">
        <v>27</v>
      </c>
      <c r="I20" s="3"/>
      <c r="J20" s="3"/>
      <c r="K20" s="3"/>
      <c r="L20" s="3"/>
      <c r="M20" s="3"/>
      <c r="N20" s="3"/>
      <c r="O20" s="3"/>
      <c r="P20" s="3"/>
      <c r="Q20" s="3"/>
      <c r="R20" s="3"/>
      <c r="S20" s="3"/>
      <c r="T20" s="3"/>
      <c r="U20" s="3"/>
      <c r="V20" s="3"/>
      <c r="W20" s="3"/>
      <c r="X20" s="3"/>
      <c r="Y20" s="3"/>
      <c r="Z20" s="3"/>
    </row>
    <row r="21" spans="1:26" x14ac:dyDescent="0.2">
      <c r="A21" s="4" t="str">
        <f ca="1">IFERROR(__xludf.DUMMYFUNCTION("LEFT(A20, 4) &amp; TEXT(REGEXEXTRACT(A20, ""-(\d+)"") + 1, ""000"")"),"DIS-019")</f>
        <v>DIS-019</v>
      </c>
      <c r="B21" s="4" t="str">
        <f t="shared" si="0"/>
        <v>DISOPIA GRAVE | -25</v>
      </c>
      <c r="C21" s="4" t="s">
        <v>190</v>
      </c>
      <c r="D21" s="4">
        <v>-25</v>
      </c>
      <c r="E21" s="3" t="s">
        <v>30</v>
      </c>
      <c r="F21" s="3" t="s">
        <v>191</v>
      </c>
      <c r="G21" s="3" t="s">
        <v>11</v>
      </c>
      <c r="H21" s="3">
        <v>27</v>
      </c>
      <c r="I21" s="3"/>
      <c r="J21" s="3"/>
      <c r="K21" s="3"/>
      <c r="L21" s="3"/>
      <c r="M21" s="3"/>
      <c r="N21" s="3"/>
      <c r="O21" s="3"/>
      <c r="P21" s="3"/>
      <c r="Q21" s="3"/>
      <c r="R21" s="3"/>
      <c r="S21" s="3"/>
      <c r="T21" s="3"/>
      <c r="U21" s="3"/>
      <c r="V21" s="3"/>
      <c r="W21" s="3"/>
      <c r="X21" s="3"/>
      <c r="Y21" s="3"/>
      <c r="Z21" s="3"/>
    </row>
    <row r="22" spans="1:26" x14ac:dyDescent="0.2">
      <c r="A22" s="4" t="str">
        <f ca="1">IFERROR(__xludf.DUMMYFUNCTION("LEFT(A21, 4) &amp; TEXT(REGEXEXTRACT(A21, ""-(\d+)"") + 1, ""000"")"),"DIS-020")</f>
        <v>DIS-020</v>
      </c>
      <c r="B22" s="4" t="str">
        <f t="shared" si="0"/>
        <v>DISOPIA LEVE | -10</v>
      </c>
      <c r="C22" s="4" t="s">
        <v>192</v>
      </c>
      <c r="D22" s="4">
        <v>-10</v>
      </c>
      <c r="E22" s="3" t="s">
        <v>30</v>
      </c>
      <c r="F22" s="3" t="s">
        <v>191</v>
      </c>
      <c r="G22" s="3" t="s">
        <v>11</v>
      </c>
      <c r="H22" s="3">
        <v>27</v>
      </c>
      <c r="I22" s="3"/>
      <c r="J22" s="3"/>
      <c r="K22" s="3"/>
      <c r="L22" s="3"/>
      <c r="M22" s="3"/>
      <c r="N22" s="3"/>
      <c r="O22" s="3"/>
      <c r="P22" s="3"/>
      <c r="Q22" s="3"/>
      <c r="R22" s="3"/>
      <c r="S22" s="3"/>
      <c r="T22" s="3"/>
      <c r="U22" s="3"/>
      <c r="V22" s="3"/>
      <c r="W22" s="3"/>
      <c r="X22" s="3"/>
      <c r="Y22" s="3"/>
      <c r="Z22" s="3"/>
    </row>
    <row r="23" spans="1:26" x14ac:dyDescent="0.2">
      <c r="A23" s="4" t="str">
        <f ca="1">IFERROR(__xludf.DUMMYFUNCTION("LEFT(A22, 4) &amp; TEXT(REGEXEXTRACT(A22, ""-(\d+)"") + 1, ""000"")"),"DIS-021")</f>
        <v>DIS-021</v>
      </c>
      <c r="B23" s="4" t="str">
        <f t="shared" si="0"/>
        <v>DALTONISMO | -10</v>
      </c>
      <c r="C23" s="4" t="s">
        <v>193</v>
      </c>
      <c r="D23" s="4">
        <v>-10</v>
      </c>
      <c r="E23" s="3" t="s">
        <v>30</v>
      </c>
      <c r="F23" s="3" t="s">
        <v>194</v>
      </c>
      <c r="G23" s="3" t="s">
        <v>11</v>
      </c>
      <c r="H23" s="3">
        <v>28</v>
      </c>
      <c r="I23" s="3"/>
      <c r="J23" s="3"/>
      <c r="K23" s="3"/>
      <c r="L23" s="3"/>
      <c r="M23" s="3"/>
      <c r="N23" s="3"/>
      <c r="O23" s="3"/>
      <c r="P23" s="3"/>
      <c r="Q23" s="3"/>
      <c r="R23" s="3"/>
      <c r="S23" s="3"/>
      <c r="T23" s="3"/>
      <c r="U23" s="3"/>
      <c r="V23" s="3"/>
      <c r="W23" s="3"/>
      <c r="X23" s="3"/>
      <c r="Y23" s="3"/>
      <c r="Z23" s="3"/>
    </row>
    <row r="24" spans="1:26" x14ac:dyDescent="0.2">
      <c r="A24" s="4" t="str">
        <f ca="1">IFERROR(__xludf.DUMMYFUNCTION("LEFT(A23, 4) &amp; TEXT(REGEXEXTRACT(A23, ""-(\d+)"") + 1, ""000"")"),"DIS-022")</f>
        <v>DIS-022</v>
      </c>
      <c r="B24" s="4" t="str">
        <f t="shared" si="0"/>
        <v>DURO DE OUVIDO | -10</v>
      </c>
      <c r="C24" s="4" t="s">
        <v>195</v>
      </c>
      <c r="D24" s="4">
        <v>-10</v>
      </c>
      <c r="E24" s="3" t="s">
        <v>30</v>
      </c>
      <c r="F24" s="3" t="s">
        <v>196</v>
      </c>
      <c r="G24" s="3" t="s">
        <v>11</v>
      </c>
      <c r="H24" s="3">
        <v>28</v>
      </c>
      <c r="I24" s="3"/>
      <c r="J24" s="3"/>
      <c r="K24" s="3"/>
      <c r="L24" s="3"/>
      <c r="M24" s="3"/>
      <c r="N24" s="3"/>
      <c r="O24" s="3"/>
      <c r="P24" s="3"/>
      <c r="Q24" s="3"/>
      <c r="R24" s="3"/>
      <c r="S24" s="3"/>
      <c r="T24" s="3"/>
      <c r="U24" s="3"/>
      <c r="V24" s="3"/>
      <c r="W24" s="3"/>
      <c r="X24" s="3"/>
      <c r="Y24" s="3"/>
      <c r="Z24" s="3"/>
    </row>
    <row r="25" spans="1:26" x14ac:dyDescent="0.2">
      <c r="A25" s="4" t="str">
        <f ca="1">IFERROR(__xludf.DUMMYFUNCTION("LEFT(A24, 4) &amp; TEXT(REGEXEXTRACT(A24, ""-(\d+)"") + 1, ""000"")"),"DIS-023")</f>
        <v>DIS-023</v>
      </c>
      <c r="B25" s="4" t="str">
        <f t="shared" si="0"/>
        <v>EPILEPSIA | -30</v>
      </c>
      <c r="C25" s="4" t="s">
        <v>197</v>
      </c>
      <c r="D25" s="4">
        <v>-30</v>
      </c>
      <c r="E25" s="3" t="s">
        <v>30</v>
      </c>
      <c r="F25" s="3" t="s">
        <v>198</v>
      </c>
      <c r="G25" s="3" t="s">
        <v>11</v>
      </c>
      <c r="H25" s="3">
        <v>28</v>
      </c>
      <c r="I25" s="3"/>
      <c r="J25" s="3"/>
      <c r="K25" s="3"/>
      <c r="L25" s="3"/>
      <c r="M25" s="3"/>
      <c r="N25" s="3"/>
      <c r="O25" s="3"/>
      <c r="P25" s="3"/>
      <c r="Q25" s="3"/>
      <c r="R25" s="3"/>
      <c r="S25" s="3"/>
      <c r="T25" s="3"/>
      <c r="U25" s="3"/>
      <c r="V25" s="3"/>
      <c r="W25" s="3"/>
      <c r="X25" s="3"/>
      <c r="Y25" s="3"/>
      <c r="Z25" s="3"/>
    </row>
    <row r="26" spans="1:26" x14ac:dyDescent="0.2">
      <c r="A26" s="4" t="str">
        <f ca="1">IFERROR(__xludf.DUMMYFUNCTION("LEFT(A25, 4) &amp; TEXT(REGEXEXTRACT(A25, ""-(\d+)"") + 1, ""000"")"),"DIS-024")</f>
        <v>DIS-024</v>
      </c>
      <c r="B26" s="4" t="str">
        <f t="shared" si="0"/>
        <v>EUNUCO | -5</v>
      </c>
      <c r="C26" s="4" t="s">
        <v>199</v>
      </c>
      <c r="D26" s="4">
        <v>-5</v>
      </c>
      <c r="E26" s="3" t="s">
        <v>30</v>
      </c>
      <c r="F26" s="3" t="s">
        <v>200</v>
      </c>
      <c r="G26" s="3" t="s">
        <v>11</v>
      </c>
      <c r="H26" s="3">
        <v>28</v>
      </c>
      <c r="I26" s="3"/>
      <c r="J26" s="3"/>
      <c r="K26" s="3"/>
      <c r="L26" s="3"/>
      <c r="M26" s="3"/>
      <c r="N26" s="3"/>
      <c r="O26" s="3"/>
      <c r="P26" s="3"/>
      <c r="Q26" s="3"/>
      <c r="R26" s="3"/>
      <c r="S26" s="3"/>
      <c r="T26" s="3"/>
      <c r="U26" s="3"/>
      <c r="V26" s="3"/>
      <c r="W26" s="3"/>
      <c r="X26" s="3"/>
      <c r="Y26" s="3"/>
      <c r="Z26" s="3"/>
    </row>
    <row r="27" spans="1:26" x14ac:dyDescent="0.2">
      <c r="A27" s="4" t="str">
        <f ca="1">IFERROR(__xludf.DUMMYFUNCTION("LEFT(A26, 4) &amp; TEXT(REGEXEXTRACT(A26, ""-(\d+)"") + 1, ""000"")"),"DIS-025")</f>
        <v>DIS-025</v>
      </c>
      <c r="B27" s="4" t="str">
        <f t="shared" si="0"/>
        <v>GIGANTISMO | -10</v>
      </c>
      <c r="C27" s="4" t="s">
        <v>201</v>
      </c>
      <c r="D27" s="4">
        <v>-10</v>
      </c>
      <c r="E27" s="3" t="s">
        <v>30</v>
      </c>
      <c r="F27" s="3" t="s">
        <v>202</v>
      </c>
      <c r="G27" s="3" t="s">
        <v>11</v>
      </c>
      <c r="H27" s="3">
        <v>28</v>
      </c>
      <c r="I27" s="3"/>
      <c r="J27" s="3"/>
      <c r="K27" s="3"/>
      <c r="L27" s="3"/>
      <c r="M27" s="3"/>
      <c r="N27" s="3"/>
      <c r="O27" s="3"/>
      <c r="P27" s="3"/>
      <c r="Q27" s="3"/>
      <c r="R27" s="3"/>
      <c r="S27" s="3"/>
      <c r="T27" s="3"/>
      <c r="U27" s="3"/>
      <c r="V27" s="3"/>
      <c r="W27" s="3"/>
      <c r="X27" s="3"/>
      <c r="Y27" s="3"/>
      <c r="Z27" s="3"/>
    </row>
    <row r="28" spans="1:26" x14ac:dyDescent="0.2">
      <c r="A28" s="4" t="str">
        <f ca="1">IFERROR(__xludf.DUMMYFUNCTION("LEFT(A27, 4) &amp; TEXT(REGEXEXTRACT(A27, ""-(\d+)"") + 1, ""000"")"),"DIS-026")</f>
        <v>DIS-026</v>
      </c>
      <c r="B28" s="4" t="str">
        <f t="shared" si="0"/>
        <v>HEMOFILIA | -30</v>
      </c>
      <c r="C28" s="4" t="s">
        <v>203</v>
      </c>
      <c r="D28" s="4">
        <v>-30</v>
      </c>
      <c r="E28" s="3" t="s">
        <v>30</v>
      </c>
      <c r="F28" s="3" t="s">
        <v>204</v>
      </c>
      <c r="G28" s="3" t="s">
        <v>11</v>
      </c>
      <c r="H28" s="3">
        <v>28</v>
      </c>
      <c r="I28" s="3"/>
      <c r="J28" s="3"/>
      <c r="K28" s="3"/>
      <c r="L28" s="3"/>
      <c r="M28" s="3"/>
      <c r="N28" s="3"/>
      <c r="O28" s="3"/>
      <c r="P28" s="3"/>
      <c r="Q28" s="3"/>
      <c r="R28" s="3"/>
      <c r="S28" s="3"/>
      <c r="T28" s="3"/>
      <c r="U28" s="3"/>
      <c r="V28" s="3"/>
      <c r="W28" s="3"/>
      <c r="X28" s="3"/>
      <c r="Y28" s="3"/>
      <c r="Z28" s="3"/>
    </row>
    <row r="29" spans="1:26" x14ac:dyDescent="0.2">
      <c r="A29" s="4" t="str">
        <f ca="1">IFERROR(__xludf.DUMMYFUNCTION("LEFT(A28, 4) &amp; TEXT(REGEXEXTRACT(A28, ""-(\d+)"") + 1, ""000"")"),"DIS-027")</f>
        <v>DIS-027</v>
      </c>
      <c r="B29" s="4" t="str">
        <f t="shared" si="0"/>
        <v>NANISMO | -15</v>
      </c>
      <c r="C29" s="4" t="s">
        <v>205</v>
      </c>
      <c r="D29" s="4">
        <v>-15</v>
      </c>
      <c r="E29" s="3" t="s">
        <v>30</v>
      </c>
      <c r="F29" s="3" t="s">
        <v>206</v>
      </c>
      <c r="G29" s="3" t="s">
        <v>11</v>
      </c>
      <c r="H29" s="3">
        <v>28</v>
      </c>
      <c r="I29" s="3"/>
      <c r="J29" s="3"/>
      <c r="K29" s="3"/>
      <c r="L29" s="3"/>
      <c r="M29" s="3"/>
      <c r="N29" s="3"/>
      <c r="O29" s="3"/>
      <c r="P29" s="3"/>
      <c r="Q29" s="3"/>
      <c r="R29" s="3"/>
      <c r="S29" s="3"/>
      <c r="T29" s="3"/>
      <c r="U29" s="3"/>
      <c r="V29" s="3"/>
      <c r="W29" s="3"/>
      <c r="X29" s="3"/>
      <c r="Y29" s="3"/>
      <c r="Z29" s="3"/>
    </row>
    <row r="30" spans="1:26" x14ac:dyDescent="0.2">
      <c r="A30" s="4" t="str">
        <f ca="1">IFERROR(__xludf.DUMMYFUNCTION("LEFT(A29, 4) &amp; TEXT(REGEXEXTRACT(A29, ""-(\d+)"") + 1, ""000"")"),"DIS-028")</f>
        <v>DIS-028</v>
      </c>
      <c r="B30" s="4" t="str">
        <f t="shared" si="0"/>
        <v>OBESIDADE GRAVE | -20</v>
      </c>
      <c r="C30" s="4" t="s">
        <v>207</v>
      </c>
      <c r="D30" s="4">
        <v>-20</v>
      </c>
      <c r="E30" s="3" t="s">
        <v>30</v>
      </c>
      <c r="F30" s="3" t="s">
        <v>208</v>
      </c>
      <c r="G30" s="3" t="s">
        <v>11</v>
      </c>
      <c r="H30" s="3">
        <v>28</v>
      </c>
      <c r="I30" s="3"/>
      <c r="J30" s="3"/>
      <c r="K30" s="3"/>
      <c r="L30" s="3"/>
      <c r="M30" s="3"/>
      <c r="N30" s="3"/>
      <c r="O30" s="3"/>
      <c r="P30" s="3"/>
      <c r="Q30" s="3"/>
      <c r="R30" s="3"/>
      <c r="S30" s="3"/>
      <c r="T30" s="3"/>
      <c r="U30" s="3"/>
      <c r="V30" s="3"/>
      <c r="W30" s="3"/>
      <c r="X30" s="3"/>
      <c r="Y30" s="3"/>
      <c r="Z30" s="3"/>
    </row>
    <row r="31" spans="1:26" x14ac:dyDescent="0.2">
      <c r="A31" s="4" t="str">
        <f ca="1">IFERROR(__xludf.DUMMYFUNCTION("LEFT(A30, 4) &amp; TEXT(REGEXEXTRACT(A30, ""-(\d+)"") + 1, ""000"")"),"DIS-029")</f>
        <v>DIS-029</v>
      </c>
      <c r="B31" s="4" t="str">
        <f t="shared" si="0"/>
        <v>OBESIDADE LEVE | -10</v>
      </c>
      <c r="C31" s="4" t="s">
        <v>209</v>
      </c>
      <c r="D31" s="4">
        <v>-10</v>
      </c>
      <c r="E31" s="3" t="s">
        <v>30</v>
      </c>
      <c r="F31" s="3" t="s">
        <v>208</v>
      </c>
      <c r="G31" s="3" t="s">
        <v>11</v>
      </c>
      <c r="H31" s="3">
        <v>28</v>
      </c>
      <c r="I31" s="3"/>
      <c r="J31" s="3"/>
      <c r="K31" s="3"/>
      <c r="L31" s="3"/>
      <c r="M31" s="3"/>
      <c r="N31" s="3"/>
      <c r="O31" s="3"/>
      <c r="P31" s="3"/>
      <c r="Q31" s="3"/>
      <c r="R31" s="3"/>
      <c r="S31" s="3"/>
      <c r="T31" s="3"/>
      <c r="U31" s="3"/>
      <c r="V31" s="3"/>
      <c r="W31" s="3"/>
      <c r="X31" s="3"/>
      <c r="Y31" s="3"/>
      <c r="Z31" s="3"/>
    </row>
    <row r="32" spans="1:26" x14ac:dyDescent="0.2">
      <c r="A32" s="4" t="str">
        <f ca="1">IFERROR(__xludf.DUMMYFUNCTION("LEFT(A31, 4) &amp; TEXT(REGEXEXTRACT(A31, ""-(\d+)"") + 1, ""000"")"),"DIS-030")</f>
        <v>DIS-030</v>
      </c>
      <c r="B32" s="4" t="str">
        <f t="shared" si="0"/>
        <v>SURDEZ | -20</v>
      </c>
      <c r="C32" s="4" t="s">
        <v>210</v>
      </c>
      <c r="D32" s="4">
        <v>-20</v>
      </c>
      <c r="E32" s="3" t="s">
        <v>30</v>
      </c>
      <c r="F32" s="3" t="s">
        <v>211</v>
      </c>
      <c r="G32" s="3" t="s">
        <v>11</v>
      </c>
      <c r="H32" s="3">
        <v>28</v>
      </c>
      <c r="I32" s="3"/>
      <c r="J32" s="3"/>
      <c r="K32" s="3"/>
      <c r="L32" s="3"/>
      <c r="M32" s="3"/>
      <c r="N32" s="3"/>
      <c r="O32" s="3"/>
      <c r="P32" s="3"/>
      <c r="Q32" s="3"/>
      <c r="R32" s="3"/>
      <c r="S32" s="3"/>
      <c r="T32" s="3"/>
      <c r="U32" s="3"/>
      <c r="V32" s="3"/>
      <c r="W32" s="3"/>
      <c r="X32" s="3"/>
      <c r="Y32" s="3"/>
      <c r="Z32" s="3"/>
    </row>
    <row r="33" spans="1:26" x14ac:dyDescent="0.2">
      <c r="A33" s="4" t="str">
        <f ca="1">IFERROR(__xludf.DUMMYFUNCTION("LEFT(A32, 4) &amp; TEXT(REGEXEXTRACT(A32, ""-(\d+)"") + 1, ""000"")"),"DIS-031")</f>
        <v>DIS-031</v>
      </c>
      <c r="B33" s="4" t="str">
        <f t="shared" si="0"/>
        <v>DISOSMIA / AGEUSIA | -5</v>
      </c>
      <c r="C33" s="4" t="s">
        <v>212</v>
      </c>
      <c r="D33" s="4">
        <v>-5</v>
      </c>
      <c r="E33" s="3" t="s">
        <v>30</v>
      </c>
      <c r="F33" s="3" t="s">
        <v>213</v>
      </c>
      <c r="G33" s="3" t="s">
        <v>11</v>
      </c>
      <c r="H33" s="3">
        <v>29</v>
      </c>
      <c r="I33" s="3"/>
      <c r="J33" s="3"/>
      <c r="K33" s="3"/>
      <c r="L33" s="3"/>
      <c r="M33" s="3"/>
      <c r="N33" s="3"/>
      <c r="O33" s="3"/>
      <c r="P33" s="3"/>
      <c r="Q33" s="3"/>
      <c r="R33" s="3"/>
      <c r="S33" s="3"/>
      <c r="T33" s="3"/>
      <c r="U33" s="3"/>
      <c r="V33" s="3"/>
      <c r="W33" s="3"/>
      <c r="X33" s="3"/>
      <c r="Y33" s="3"/>
      <c r="Z33" s="3"/>
    </row>
    <row r="34" spans="1:26" x14ac:dyDescent="0.2">
      <c r="A34" s="4" t="str">
        <f ca="1">IFERROR(__xludf.DUMMYFUNCTION("LEFT(A33, 4) &amp; TEXT(REGEXEXTRACT(A33, ""-(\d+)"") + 1, ""000"")"),"DIS-032")</f>
        <v>DIS-032</v>
      </c>
      <c r="B34" s="4" t="str">
        <f t="shared" si="0"/>
        <v>EXCESSO DE PESO | -5</v>
      </c>
      <c r="C34" s="4" t="s">
        <v>214</v>
      </c>
      <c r="D34" s="4">
        <v>-5</v>
      </c>
      <c r="E34" s="3" t="s">
        <v>30</v>
      </c>
      <c r="F34" s="3" t="s">
        <v>215</v>
      </c>
      <c r="G34" s="3" t="s">
        <v>11</v>
      </c>
      <c r="H34" s="3">
        <v>29</v>
      </c>
      <c r="I34" s="3"/>
      <c r="J34" s="3"/>
      <c r="K34" s="3"/>
      <c r="L34" s="3"/>
      <c r="M34" s="3"/>
      <c r="N34" s="3"/>
      <c r="O34" s="3"/>
      <c r="P34" s="3"/>
      <c r="Q34" s="3"/>
      <c r="R34" s="3"/>
      <c r="S34" s="3"/>
      <c r="T34" s="3"/>
      <c r="U34" s="3"/>
      <c r="V34" s="3"/>
      <c r="W34" s="3"/>
      <c r="X34" s="3"/>
      <c r="Y34" s="3"/>
      <c r="Z34" s="3"/>
    </row>
    <row r="35" spans="1:26" x14ac:dyDescent="0.2">
      <c r="A35" s="4" t="str">
        <f ca="1">IFERROR(__xludf.DUMMYFUNCTION("LEFT(A34, 4) &amp; TEXT(REGEXEXTRACT(A34, ""-(\d+)"") + 1, ""000"")"),"DIS-033")</f>
        <v>DIS-033</v>
      </c>
      <c r="B35" s="4" t="str">
        <f t="shared" si="0"/>
        <v>GAGUEIRA | -10</v>
      </c>
      <c r="C35" s="4" t="s">
        <v>216</v>
      </c>
      <c r="D35" s="4">
        <v>-10</v>
      </c>
      <c r="E35" s="3" t="s">
        <v>30</v>
      </c>
      <c r="F35" s="3" t="s">
        <v>217</v>
      </c>
      <c r="G35" s="3" t="s">
        <v>11</v>
      </c>
      <c r="H35" s="3">
        <v>29</v>
      </c>
      <c r="I35" s="3"/>
      <c r="J35" s="3"/>
      <c r="K35" s="3"/>
      <c r="L35" s="3"/>
      <c r="M35" s="3"/>
      <c r="N35" s="3"/>
      <c r="O35" s="3"/>
      <c r="P35" s="3"/>
      <c r="Q35" s="3"/>
      <c r="R35" s="3"/>
      <c r="S35" s="3"/>
      <c r="T35" s="3"/>
      <c r="U35" s="3"/>
      <c r="V35" s="3"/>
      <c r="W35" s="3"/>
      <c r="X35" s="3"/>
      <c r="Y35" s="3"/>
      <c r="Z35" s="3"/>
    </row>
    <row r="36" spans="1:26" x14ac:dyDescent="0.2">
      <c r="A36" s="4" t="str">
        <f ca="1">IFERROR(__xludf.DUMMYFUNCTION("LEFT(A35, 4) &amp; TEXT(REGEXEXTRACT(A35, ""-(\d+)"") + 1, ""000"")"),"DIS-034")</f>
        <v>DIS-034</v>
      </c>
      <c r="B36" s="4" t="str">
        <f t="shared" si="0"/>
        <v>HIPERALGIA | -10</v>
      </c>
      <c r="C36" s="4" t="s">
        <v>218</v>
      </c>
      <c r="D36" s="4">
        <v>-10</v>
      </c>
      <c r="E36" s="3" t="s">
        <v>30</v>
      </c>
      <c r="F36" s="3" t="s">
        <v>219</v>
      </c>
      <c r="G36" s="3" t="s">
        <v>11</v>
      </c>
      <c r="H36" s="3">
        <v>29</v>
      </c>
      <c r="I36" s="3"/>
      <c r="J36" s="3"/>
      <c r="K36" s="3"/>
      <c r="L36" s="3"/>
      <c r="M36" s="3"/>
      <c r="N36" s="3"/>
      <c r="O36" s="3"/>
      <c r="P36" s="3"/>
      <c r="Q36" s="3"/>
      <c r="R36" s="3"/>
      <c r="S36" s="3"/>
      <c r="T36" s="3"/>
      <c r="U36" s="3"/>
      <c r="V36" s="3"/>
      <c r="W36" s="3"/>
      <c r="X36" s="3"/>
      <c r="Y36" s="3"/>
      <c r="Z36" s="3"/>
    </row>
    <row r="37" spans="1:26" x14ac:dyDescent="0.2">
      <c r="A37" s="4" t="str">
        <f ca="1">IFERROR(__xludf.DUMMYFUNCTION("LEFT(A36, 4) &amp; TEXT(REGEXEXTRACT(A36, ""-(\d+)"") + 1, ""000"")"),"DIS-035")</f>
        <v>DIS-035</v>
      </c>
      <c r="B37" s="4" t="str">
        <f t="shared" si="0"/>
        <v>MAGREZA | -5</v>
      </c>
      <c r="C37" s="4" t="s">
        <v>220</v>
      </c>
      <c r="D37" s="4">
        <v>-5</v>
      </c>
      <c r="E37" s="3" t="s">
        <v>30</v>
      </c>
      <c r="F37" s="3" t="s">
        <v>221</v>
      </c>
      <c r="G37" s="3" t="s">
        <v>11</v>
      </c>
      <c r="H37" s="3">
        <v>29</v>
      </c>
      <c r="I37" s="3"/>
      <c r="J37" s="3"/>
      <c r="K37" s="3"/>
      <c r="L37" s="3"/>
      <c r="M37" s="3"/>
      <c r="N37" s="3"/>
      <c r="O37" s="3"/>
      <c r="P37" s="3"/>
      <c r="Q37" s="3"/>
      <c r="R37" s="3"/>
      <c r="S37" s="3"/>
      <c r="T37" s="3"/>
      <c r="U37" s="3"/>
      <c r="V37" s="3"/>
      <c r="W37" s="3"/>
      <c r="X37" s="3"/>
      <c r="Y37" s="3"/>
      <c r="Z37" s="3"/>
    </row>
    <row r="38" spans="1:26" x14ac:dyDescent="0.2">
      <c r="A38" s="4" t="str">
        <f ca="1">IFERROR(__xludf.DUMMYFUNCTION("LEFT(A37, 4) &amp; TEXT(REGEXEXTRACT(A37, ""-(\d+)"") + 1, ""000"")"),"DIS-036")</f>
        <v>DIS-036</v>
      </c>
      <c r="B38" s="4" t="str">
        <f t="shared" si="0"/>
        <v>MANETA (UM BRAÇO) | -20</v>
      </c>
      <c r="C38" s="4" t="s">
        <v>222</v>
      </c>
      <c r="D38" s="4">
        <v>-20</v>
      </c>
      <c r="E38" s="3" t="s">
        <v>30</v>
      </c>
      <c r="F38" s="3" t="s">
        <v>223</v>
      </c>
      <c r="G38" s="3" t="s">
        <v>11</v>
      </c>
      <c r="H38" s="3">
        <v>29</v>
      </c>
      <c r="I38" s="3"/>
      <c r="J38" s="3"/>
      <c r="K38" s="3"/>
      <c r="L38" s="3"/>
      <c r="M38" s="3"/>
      <c r="N38" s="3"/>
      <c r="O38" s="3"/>
      <c r="P38" s="3"/>
      <c r="Q38" s="3"/>
      <c r="R38" s="3"/>
      <c r="S38" s="3"/>
      <c r="T38" s="3"/>
      <c r="U38" s="3"/>
      <c r="V38" s="3"/>
      <c r="W38" s="3"/>
      <c r="X38" s="3"/>
      <c r="Y38" s="3"/>
      <c r="Z38" s="3"/>
    </row>
    <row r="39" spans="1:26" x14ac:dyDescent="0.2">
      <c r="A39" s="4" t="str">
        <f ca="1">IFERROR(__xludf.DUMMYFUNCTION("LEFT(A38, 4) &amp; TEXT(REGEXEXTRACT(A38, ""-(\d+)"") + 1, ""000"")"),"DIS-037")</f>
        <v>DIS-037</v>
      </c>
      <c r="B39" s="4" t="str">
        <f t="shared" si="0"/>
        <v>MANETA (UMA MÃO) | -15</v>
      </c>
      <c r="C39" s="4" t="s">
        <v>224</v>
      </c>
      <c r="D39" s="4">
        <v>-15</v>
      </c>
      <c r="E39" s="3" t="s">
        <v>30</v>
      </c>
      <c r="F39" s="3" t="s">
        <v>225</v>
      </c>
      <c r="G39" s="3" t="s">
        <v>11</v>
      </c>
      <c r="H39" s="3">
        <v>29</v>
      </c>
      <c r="I39" s="3"/>
      <c r="J39" s="3"/>
      <c r="K39" s="3"/>
      <c r="L39" s="3"/>
      <c r="M39" s="3"/>
      <c r="N39" s="3"/>
      <c r="O39" s="3"/>
      <c r="P39" s="3"/>
      <c r="Q39" s="3"/>
      <c r="R39" s="3"/>
      <c r="S39" s="3"/>
      <c r="T39" s="3"/>
      <c r="U39" s="3"/>
      <c r="V39" s="3"/>
      <c r="W39" s="3"/>
      <c r="X39" s="3"/>
      <c r="Y39" s="3"/>
      <c r="Z39" s="3"/>
    </row>
    <row r="40" spans="1:26" x14ac:dyDescent="0.2">
      <c r="A40" s="4" t="str">
        <f ca="1">IFERROR(__xludf.DUMMYFUNCTION("LEFT(A39, 4) &amp; TEXT(REGEXEXTRACT(A39, ""-(\d+)"") + 1, ""000"")"),"DIS-038")</f>
        <v>DIS-038</v>
      </c>
      <c r="B40" s="4" t="str">
        <f t="shared" si="0"/>
        <v>MUDEZ | -25</v>
      </c>
      <c r="C40" s="4" t="s">
        <v>226</v>
      </c>
      <c r="D40" s="4">
        <v>-25</v>
      </c>
      <c r="E40" s="3" t="s">
        <v>30</v>
      </c>
      <c r="F40" s="3" t="s">
        <v>227</v>
      </c>
      <c r="G40" s="3" t="s">
        <v>11</v>
      </c>
      <c r="H40" s="3">
        <v>29</v>
      </c>
      <c r="I40" s="3"/>
      <c r="J40" s="3"/>
      <c r="K40" s="3"/>
      <c r="L40" s="3"/>
      <c r="M40" s="3"/>
      <c r="N40" s="3"/>
      <c r="O40" s="3"/>
      <c r="P40" s="3"/>
      <c r="Q40" s="3"/>
      <c r="R40" s="3"/>
      <c r="S40" s="3"/>
      <c r="T40" s="3"/>
      <c r="U40" s="3"/>
      <c r="V40" s="3"/>
      <c r="W40" s="3"/>
      <c r="X40" s="3"/>
      <c r="Y40" s="3"/>
      <c r="Z40" s="3"/>
    </row>
    <row r="41" spans="1:26" x14ac:dyDescent="0.2">
      <c r="A41" s="4" t="str">
        <f ca="1">IFERROR(__xludf.DUMMYFUNCTION("LEFT(A40, 4) &amp; TEXT(REGEXEXTRACT(A40, ""-(\d+)"") + 1, ""000"")"),"DIS-039")</f>
        <v>DIS-039</v>
      </c>
      <c r="B41" s="4" t="str">
        <f t="shared" si="0"/>
        <v>PERNA MUTILADA | -15</v>
      </c>
      <c r="C41" s="4" t="s">
        <v>228</v>
      </c>
      <c r="D41" s="4">
        <v>-15</v>
      </c>
      <c r="E41" s="3" t="s">
        <v>30</v>
      </c>
      <c r="F41" s="3" t="s">
        <v>229</v>
      </c>
      <c r="G41" s="3" t="s">
        <v>11</v>
      </c>
      <c r="H41" s="3">
        <v>29</v>
      </c>
      <c r="I41" s="3"/>
      <c r="J41" s="3"/>
      <c r="K41" s="3"/>
      <c r="L41" s="3"/>
      <c r="M41" s="3"/>
      <c r="N41" s="3"/>
      <c r="O41" s="3"/>
      <c r="P41" s="3"/>
      <c r="Q41" s="3"/>
      <c r="R41" s="3"/>
      <c r="S41" s="3"/>
      <c r="T41" s="3"/>
      <c r="U41" s="3"/>
      <c r="V41" s="3"/>
      <c r="W41" s="3"/>
      <c r="X41" s="3"/>
      <c r="Y41" s="3"/>
      <c r="Z41" s="3"/>
    </row>
    <row r="42" spans="1:26" x14ac:dyDescent="0.2">
      <c r="A42" s="4" t="str">
        <f ca="1">IFERROR(__xludf.DUMMYFUNCTION("LEFT(A41, 4) &amp; TEXT(REGEXEXTRACT(A41, ""-(\d+)"") + 1, ""000"")"),"DIS-040")</f>
        <v>DIS-040</v>
      </c>
      <c r="B42" s="4" t="str">
        <f t="shared" si="0"/>
        <v>PERNETA | -25</v>
      </c>
      <c r="C42" s="4" t="s">
        <v>230</v>
      </c>
      <c r="D42" s="4">
        <v>-25</v>
      </c>
      <c r="E42" s="3" t="s">
        <v>30</v>
      </c>
      <c r="F42" s="3" t="s">
        <v>231</v>
      </c>
      <c r="G42" s="3" t="s">
        <v>11</v>
      </c>
      <c r="H42" s="3">
        <v>29</v>
      </c>
      <c r="I42" s="3"/>
      <c r="J42" s="3"/>
      <c r="K42" s="3"/>
      <c r="L42" s="3"/>
      <c r="M42" s="3"/>
      <c r="N42" s="3"/>
      <c r="O42" s="3"/>
      <c r="P42" s="3"/>
      <c r="Q42" s="3"/>
      <c r="R42" s="3"/>
      <c r="S42" s="3"/>
      <c r="T42" s="3"/>
      <c r="U42" s="3"/>
      <c r="V42" s="3"/>
      <c r="W42" s="3"/>
      <c r="X42" s="3"/>
      <c r="Y42" s="3"/>
      <c r="Z42" s="3"/>
    </row>
    <row r="43" spans="1:26" x14ac:dyDescent="0.2">
      <c r="A43" s="4" t="str">
        <f ca="1">IFERROR(__xludf.DUMMYFUNCTION("LEFT(A42, 4) &amp; TEXT(REGEXEXTRACT(A42, ""-(\d+)"") + 1, ""000"")"),"DIS-041")</f>
        <v>DIS-041</v>
      </c>
      <c r="B43" s="4" t="str">
        <f t="shared" si="0"/>
        <v>SEM PERNAS | -35</v>
      </c>
      <c r="C43" s="4" t="s">
        <v>232</v>
      </c>
      <c r="D43" s="4">
        <v>-35</v>
      </c>
      <c r="E43" s="3" t="s">
        <v>30</v>
      </c>
      <c r="F43" s="3" t="s">
        <v>233</v>
      </c>
      <c r="G43" s="3" t="s">
        <v>11</v>
      </c>
      <c r="H43" s="3">
        <v>29</v>
      </c>
      <c r="I43" s="3"/>
      <c r="J43" s="3"/>
      <c r="K43" s="3"/>
      <c r="L43" s="3"/>
      <c r="M43" s="3"/>
      <c r="N43" s="3"/>
      <c r="O43" s="3"/>
      <c r="P43" s="3"/>
      <c r="Q43" s="3"/>
      <c r="R43" s="3"/>
      <c r="S43" s="3"/>
      <c r="T43" s="3"/>
      <c r="U43" s="3"/>
      <c r="V43" s="3"/>
      <c r="W43" s="3"/>
      <c r="X43" s="3"/>
      <c r="Y43" s="3"/>
      <c r="Z43" s="3"/>
    </row>
    <row r="44" spans="1:26" x14ac:dyDescent="0.2">
      <c r="A44" s="4" t="str">
        <f ca="1">IFERROR(__xludf.DUMMYFUNCTION("LEFT(A43, 4) &amp; TEXT(REGEXEXTRACT(A43, ""-(\d+)"") + 1, ""000"")"),"DIS-042")</f>
        <v>DIS-042</v>
      </c>
      <c r="B44" s="4" t="str">
        <f t="shared" si="0"/>
        <v>ZAROLHO | -15</v>
      </c>
      <c r="C44" s="4" t="s">
        <v>234</v>
      </c>
      <c r="D44" s="4">
        <v>-15</v>
      </c>
      <c r="E44" s="3" t="s">
        <v>30</v>
      </c>
      <c r="F44" s="3" t="s">
        <v>235</v>
      </c>
      <c r="G44" s="3" t="s">
        <v>11</v>
      </c>
      <c r="H44" s="3">
        <v>29</v>
      </c>
      <c r="I44" s="3"/>
      <c r="J44" s="3"/>
      <c r="K44" s="3"/>
      <c r="L44" s="3"/>
      <c r="M44" s="3"/>
      <c r="N44" s="3"/>
      <c r="O44" s="3"/>
      <c r="P44" s="3"/>
      <c r="Q44" s="3"/>
      <c r="R44" s="3"/>
      <c r="S44" s="3"/>
      <c r="T44" s="3"/>
      <c r="U44" s="3"/>
      <c r="V44" s="3"/>
      <c r="W44" s="3"/>
      <c r="X44" s="3"/>
      <c r="Y44" s="3"/>
      <c r="Z44" s="3"/>
    </row>
    <row r="45" spans="1:26" x14ac:dyDescent="0.2">
      <c r="A45" s="4" t="str">
        <f ca="1">IFERROR(__xludf.DUMMYFUNCTION("LEFT(A44, 4) &amp; TEXT(REGEXEXTRACT(A44, ""-(\d+)"") + 1, ""000"")"),"DIS-043")</f>
        <v>DIS-043</v>
      </c>
      <c r="B45" s="4" t="str">
        <f t="shared" si="0"/>
        <v>ALCOOLISMO | -15</v>
      </c>
      <c r="C45" s="4" t="s">
        <v>236</v>
      </c>
      <c r="D45" s="4">
        <v>-15</v>
      </c>
      <c r="E45" s="3" t="s">
        <v>42</v>
      </c>
      <c r="F45" s="3" t="s">
        <v>237</v>
      </c>
      <c r="G45" s="3" t="s">
        <v>11</v>
      </c>
      <c r="H45" s="3">
        <v>30</v>
      </c>
      <c r="I45" s="3"/>
      <c r="J45" s="3"/>
      <c r="K45" s="3"/>
      <c r="L45" s="3"/>
      <c r="M45" s="3"/>
      <c r="N45" s="3"/>
      <c r="O45" s="3"/>
      <c r="P45" s="3"/>
      <c r="Q45" s="3"/>
      <c r="R45" s="3"/>
      <c r="S45" s="3"/>
      <c r="T45" s="3"/>
      <c r="U45" s="3"/>
      <c r="V45" s="3"/>
      <c r="W45" s="3"/>
      <c r="X45" s="3"/>
      <c r="Y45" s="3"/>
      <c r="Z45" s="3"/>
    </row>
    <row r="46" spans="1:26" x14ac:dyDescent="0.2">
      <c r="A46" s="4" t="str">
        <f ca="1">IFERROR(__xludf.DUMMYFUNCTION("LEFT(A45, 4) &amp; TEXT(REGEXEXTRACT(A45, ""-(\d+)"") + 1, ""000"")"),"DIS-044")</f>
        <v>DIS-044</v>
      </c>
      <c r="B46" s="4" t="str">
        <f t="shared" si="0"/>
        <v>DISTRAÇÃO | -15</v>
      </c>
      <c r="C46" s="4" t="s">
        <v>238</v>
      </c>
      <c r="D46" s="4">
        <v>-15</v>
      </c>
      <c r="E46" s="3" t="s">
        <v>42</v>
      </c>
      <c r="F46" s="3" t="s">
        <v>239</v>
      </c>
      <c r="G46" s="3" t="s">
        <v>11</v>
      </c>
      <c r="H46" s="3">
        <v>30</v>
      </c>
      <c r="I46" s="3"/>
      <c r="J46" s="3"/>
      <c r="K46" s="3"/>
      <c r="L46" s="3"/>
      <c r="M46" s="3"/>
      <c r="N46" s="3"/>
      <c r="O46" s="3"/>
      <c r="P46" s="3"/>
      <c r="Q46" s="3"/>
      <c r="R46" s="3"/>
      <c r="S46" s="3"/>
      <c r="T46" s="3"/>
      <c r="U46" s="3"/>
      <c r="V46" s="3"/>
      <c r="W46" s="3"/>
      <c r="X46" s="3"/>
      <c r="Y46" s="3"/>
      <c r="Z46" s="3"/>
    </row>
    <row r="47" spans="1:26" x14ac:dyDescent="0.2">
      <c r="A47" s="4" t="str">
        <f ca="1">IFERROR(__xludf.DUMMYFUNCTION("LEFT(A46, 4) &amp; TEXT(REGEXEXTRACT(A46, ""-(\d+)"") + 1, ""000"")"),"DIS-045")</f>
        <v>DIS-045</v>
      </c>
      <c r="B47" s="4" t="str">
        <f t="shared" si="0"/>
        <v>VICIO | -10</v>
      </c>
      <c r="C47" s="4" t="s">
        <v>240</v>
      </c>
      <c r="D47" s="4">
        <v>-10</v>
      </c>
      <c r="E47" s="3" t="s">
        <v>42</v>
      </c>
      <c r="F47" s="3" t="s">
        <v>241</v>
      </c>
      <c r="G47" s="3" t="s">
        <v>11</v>
      </c>
      <c r="H47" s="3">
        <v>30</v>
      </c>
      <c r="I47" s="3"/>
      <c r="J47" s="3"/>
      <c r="K47" s="3"/>
      <c r="L47" s="3"/>
      <c r="M47" s="3"/>
      <c r="N47" s="3"/>
      <c r="O47" s="3"/>
      <c r="P47" s="3"/>
      <c r="Q47" s="3"/>
      <c r="R47" s="3"/>
      <c r="S47" s="3"/>
      <c r="T47" s="3"/>
      <c r="U47" s="3"/>
      <c r="V47" s="3"/>
      <c r="W47" s="3"/>
      <c r="X47" s="3"/>
      <c r="Y47" s="3"/>
      <c r="Z47" s="3"/>
    </row>
    <row r="48" spans="1:26" x14ac:dyDescent="0.2">
      <c r="A48" s="4" t="str">
        <f ca="1">IFERROR(__xludf.DUMMYFUNCTION("LEFT(A47, 4) &amp; TEXT(REGEXEXTRACT(A47, ""-(\d+)"") + 1, ""000"")"),"DIS-046")</f>
        <v>DIS-046</v>
      </c>
      <c r="B48" s="4" t="str">
        <f t="shared" si="0"/>
        <v>VICIO GRAVE | -15</v>
      </c>
      <c r="C48" s="4" t="s">
        <v>242</v>
      </c>
      <c r="D48" s="4">
        <v>-15</v>
      </c>
      <c r="E48" s="3" t="s">
        <v>42</v>
      </c>
      <c r="F48" s="3" t="s">
        <v>241</v>
      </c>
      <c r="G48" s="3" t="s">
        <v>11</v>
      </c>
      <c r="H48" s="3">
        <v>30</v>
      </c>
      <c r="I48" s="3"/>
      <c r="J48" s="3"/>
      <c r="K48" s="3"/>
      <c r="L48" s="3"/>
      <c r="M48" s="3"/>
      <c r="N48" s="3"/>
      <c r="O48" s="3"/>
      <c r="P48" s="3"/>
      <c r="Q48" s="3"/>
      <c r="R48" s="3"/>
      <c r="S48" s="3"/>
      <c r="T48" s="3"/>
      <c r="U48" s="3"/>
      <c r="V48" s="3"/>
      <c r="W48" s="3"/>
      <c r="X48" s="3"/>
      <c r="Y48" s="3"/>
      <c r="Z48" s="3"/>
    </row>
    <row r="49" spans="1:26" x14ac:dyDescent="0.2">
      <c r="A49" s="4" t="str">
        <f ca="1">IFERROR(__xludf.DUMMYFUNCTION("LEFT(A48, 4) &amp; TEXT(REGEXEXTRACT(A48, ""-(\d+)"") + 1, ""000"")"),"DIS-047")</f>
        <v>DIS-047</v>
      </c>
      <c r="B49" s="4" t="str">
        <f t="shared" si="0"/>
        <v>VICIO LEVE | -5</v>
      </c>
      <c r="C49" s="4" t="s">
        <v>243</v>
      </c>
      <c r="D49" s="4">
        <v>-5</v>
      </c>
      <c r="E49" s="3" t="s">
        <v>42</v>
      </c>
      <c r="F49" s="3" t="s">
        <v>241</v>
      </c>
      <c r="G49" s="3" t="s">
        <v>11</v>
      </c>
      <c r="H49" s="3">
        <v>30</v>
      </c>
      <c r="I49" s="3"/>
      <c r="J49" s="3"/>
      <c r="K49" s="3"/>
      <c r="L49" s="3"/>
      <c r="M49" s="3"/>
      <c r="N49" s="3"/>
      <c r="O49" s="3"/>
      <c r="P49" s="3"/>
      <c r="Q49" s="3"/>
      <c r="R49" s="3"/>
      <c r="S49" s="3"/>
      <c r="T49" s="3"/>
      <c r="U49" s="3"/>
      <c r="V49" s="3"/>
      <c r="W49" s="3"/>
      <c r="X49" s="3"/>
      <c r="Y49" s="3"/>
      <c r="Z49" s="3"/>
    </row>
    <row r="50" spans="1:26" x14ac:dyDescent="0.2">
      <c r="A50" s="4" t="str">
        <f ca="1">IFERROR(__xludf.DUMMYFUNCTION("LEFT(A49, 4) &amp; TEXT(REGEXEXTRACT(A49, ""-(\d+)"") + 1, ""000"")"),"DIS-048")</f>
        <v>DIS-048</v>
      </c>
      <c r="B50" s="4" t="str">
        <f t="shared" si="0"/>
        <v>VICIO MUITO GRAVE | -20</v>
      </c>
      <c r="C50" s="4" t="s">
        <v>244</v>
      </c>
      <c r="D50" s="4">
        <v>-20</v>
      </c>
      <c r="E50" s="3" t="s">
        <v>42</v>
      </c>
      <c r="F50" s="3" t="s">
        <v>241</v>
      </c>
      <c r="G50" s="3" t="s">
        <v>11</v>
      </c>
      <c r="H50" s="3">
        <v>30</v>
      </c>
      <c r="I50" s="3"/>
      <c r="J50" s="3"/>
      <c r="K50" s="3"/>
      <c r="L50" s="3"/>
      <c r="M50" s="3"/>
      <c r="N50" s="3"/>
      <c r="O50" s="3"/>
      <c r="P50" s="3"/>
      <c r="Q50" s="3"/>
      <c r="R50" s="3"/>
      <c r="S50" s="3"/>
      <c r="T50" s="3"/>
      <c r="U50" s="3"/>
      <c r="V50" s="3"/>
      <c r="W50" s="3"/>
      <c r="X50" s="3"/>
      <c r="Y50" s="3"/>
      <c r="Z50" s="3"/>
    </row>
    <row r="51" spans="1:26" x14ac:dyDescent="0.2">
      <c r="A51" s="4" t="str">
        <f ca="1">IFERROR(__xludf.DUMMYFUNCTION("LEFT(A50, 4) &amp; TEXT(REGEXEXTRACT(A50, ""-(\d+)"") + 1, ""000"")"),"DIS-049")</f>
        <v>DIS-049</v>
      </c>
      <c r="B51" s="4" t="str">
        <f t="shared" si="0"/>
        <v>CODIGO DE HONRA LEVE | -5</v>
      </c>
      <c r="C51" s="4" t="s">
        <v>245</v>
      </c>
      <c r="D51" s="4">
        <v>-5</v>
      </c>
      <c r="E51" s="3" t="s">
        <v>42</v>
      </c>
      <c r="F51" s="3" t="s">
        <v>246</v>
      </c>
      <c r="G51" s="3" t="s">
        <v>11</v>
      </c>
      <c r="H51" s="3">
        <v>31</v>
      </c>
      <c r="I51" s="3"/>
      <c r="J51" s="3"/>
      <c r="K51" s="3"/>
      <c r="L51" s="3"/>
      <c r="M51" s="3"/>
      <c r="N51" s="3"/>
      <c r="O51" s="3"/>
      <c r="P51" s="3"/>
      <c r="Q51" s="3"/>
      <c r="R51" s="3"/>
      <c r="S51" s="3"/>
      <c r="T51" s="3"/>
      <c r="U51" s="3"/>
      <c r="V51" s="3"/>
      <c r="W51" s="3"/>
      <c r="X51" s="3"/>
      <c r="Y51" s="3"/>
      <c r="Z51" s="3"/>
    </row>
    <row r="52" spans="1:26" x14ac:dyDescent="0.2">
      <c r="A52" s="4" t="str">
        <f ca="1">IFERROR(__xludf.DUMMYFUNCTION("LEFT(A51, 4) &amp; TEXT(REGEXEXTRACT(A51, ""-(\d+)"") + 1, ""000"")"),"DIS-050")</f>
        <v>DIS-050</v>
      </c>
      <c r="B52" s="4" t="str">
        <f t="shared" si="0"/>
        <v>CODIGO DE HONRA MEDIO | -10</v>
      </c>
      <c r="C52" s="4" t="s">
        <v>247</v>
      </c>
      <c r="D52" s="4">
        <v>-10</v>
      </c>
      <c r="E52" s="3" t="s">
        <v>42</v>
      </c>
      <c r="F52" s="3" t="s">
        <v>246</v>
      </c>
      <c r="G52" s="3" t="s">
        <v>11</v>
      </c>
      <c r="H52" s="3">
        <v>31</v>
      </c>
      <c r="I52" s="3"/>
      <c r="J52" s="3"/>
      <c r="K52" s="3"/>
      <c r="L52" s="3"/>
      <c r="M52" s="3"/>
      <c r="N52" s="3"/>
      <c r="O52" s="3"/>
      <c r="P52" s="3"/>
      <c r="Q52" s="3"/>
      <c r="R52" s="3"/>
      <c r="S52" s="3"/>
      <c r="T52" s="3"/>
      <c r="U52" s="3"/>
      <c r="V52" s="3"/>
      <c r="W52" s="3"/>
      <c r="X52" s="3"/>
      <c r="Y52" s="3"/>
      <c r="Z52" s="3"/>
    </row>
    <row r="53" spans="1:26" x14ac:dyDescent="0.2">
      <c r="A53" s="4" t="str">
        <f ca="1">IFERROR(__xludf.DUMMYFUNCTION("LEFT(A52, 4) &amp; TEXT(REGEXEXTRACT(A52, ""-(\d+)"") + 1, ""000"")"),"DIS-051")</f>
        <v>DIS-051</v>
      </c>
      <c r="B53" s="4" t="str">
        <f t="shared" si="0"/>
        <v>CODIGO DE HONRA PESADO | -15</v>
      </c>
      <c r="C53" s="4" t="s">
        <v>248</v>
      </c>
      <c r="D53" s="4">
        <v>-15</v>
      </c>
      <c r="E53" s="3" t="s">
        <v>42</v>
      </c>
      <c r="F53" s="3" t="s">
        <v>246</v>
      </c>
      <c r="G53" s="3" t="s">
        <v>11</v>
      </c>
      <c r="H53" s="3">
        <v>31</v>
      </c>
      <c r="I53" s="3"/>
      <c r="J53" s="3"/>
      <c r="K53" s="3"/>
      <c r="L53" s="3"/>
      <c r="M53" s="3"/>
      <c r="N53" s="3"/>
      <c r="O53" s="3"/>
      <c r="P53" s="3"/>
      <c r="Q53" s="3"/>
      <c r="R53" s="3"/>
      <c r="S53" s="3"/>
      <c r="T53" s="3"/>
      <c r="U53" s="3"/>
      <c r="V53" s="3"/>
      <c r="W53" s="3"/>
      <c r="X53" s="3"/>
      <c r="Y53" s="3"/>
      <c r="Z53" s="3"/>
    </row>
    <row r="54" spans="1:26" x14ac:dyDescent="0.2">
      <c r="A54" s="4" t="str">
        <f ca="1">IFERROR(__xludf.DUMMYFUNCTION("LEFT(A53, 4) &amp; TEXT(REGEXEXTRACT(A53, ""-(\d+)"") + 1, ""000"")"),"DIS-052")</f>
        <v>DIS-052</v>
      </c>
      <c r="B54" s="4" t="str">
        <f t="shared" si="0"/>
        <v>FANFARRONICE | -10</v>
      </c>
      <c r="C54" s="4" t="s">
        <v>249</v>
      </c>
      <c r="D54" s="4">
        <v>-10</v>
      </c>
      <c r="E54" s="3" t="s">
        <v>42</v>
      </c>
      <c r="F54" s="3" t="s">
        <v>250</v>
      </c>
      <c r="G54" s="3" t="s">
        <v>11</v>
      </c>
      <c r="H54" s="3">
        <v>31</v>
      </c>
      <c r="I54" s="3"/>
      <c r="J54" s="3"/>
      <c r="K54" s="3"/>
      <c r="L54" s="3"/>
      <c r="M54" s="3"/>
      <c r="N54" s="3"/>
      <c r="O54" s="3"/>
      <c r="P54" s="3"/>
      <c r="Q54" s="3"/>
      <c r="R54" s="3"/>
      <c r="S54" s="3"/>
      <c r="T54" s="3"/>
      <c r="U54" s="3"/>
      <c r="V54" s="3"/>
      <c r="W54" s="3"/>
      <c r="X54" s="3"/>
      <c r="Y54" s="3"/>
      <c r="Z54" s="3"/>
    </row>
    <row r="55" spans="1:26" x14ac:dyDescent="0.2">
      <c r="A55" s="4" t="str">
        <f ca="1">IFERROR(__xludf.DUMMYFUNCTION("LEFT(A54, 4) &amp; TEXT(REGEXEXTRACT(A54, ""-(\d+)"") + 1, ""000"")"),"DIS-053")</f>
        <v>DIS-053</v>
      </c>
      <c r="B55" s="4" t="str">
        <f t="shared" si="0"/>
        <v>FURIA | -15</v>
      </c>
      <c r="C55" s="4" t="s">
        <v>251</v>
      </c>
      <c r="D55" s="4">
        <v>-15</v>
      </c>
      <c r="E55" s="3" t="s">
        <v>42</v>
      </c>
      <c r="F55" s="3" t="s">
        <v>252</v>
      </c>
      <c r="G55" s="3" t="s">
        <v>11</v>
      </c>
      <c r="H55" s="3">
        <v>31</v>
      </c>
      <c r="I55" s="3"/>
      <c r="J55" s="3"/>
      <c r="K55" s="3"/>
      <c r="L55" s="3"/>
      <c r="M55" s="3"/>
      <c r="N55" s="3"/>
      <c r="O55" s="3"/>
      <c r="P55" s="3"/>
      <c r="Q55" s="3"/>
      <c r="R55" s="3"/>
      <c r="S55" s="3"/>
      <c r="T55" s="3"/>
      <c r="U55" s="3"/>
      <c r="V55" s="3"/>
      <c r="W55" s="3"/>
      <c r="X55" s="3"/>
      <c r="Y55" s="3"/>
      <c r="Z55" s="3"/>
    </row>
    <row r="56" spans="1:26" x14ac:dyDescent="0.2">
      <c r="A56" s="4" t="str">
        <f ca="1">IFERROR(__xludf.DUMMYFUNCTION("LEFT(A55, 4) &amp; TEXT(REGEXEXTRACT(A55, ""-(\d+)"") + 1, ""000"")"),"DIS-054")</f>
        <v>DIS-054</v>
      </c>
      <c r="B56" s="4" t="str">
        <f t="shared" si="0"/>
        <v>MAU HUMOR | -10</v>
      </c>
      <c r="C56" s="4" t="s">
        <v>253</v>
      </c>
      <c r="D56" s="4">
        <v>-10</v>
      </c>
      <c r="E56" s="3"/>
      <c r="F56" s="3" t="s">
        <v>254</v>
      </c>
      <c r="G56" s="3" t="s">
        <v>11</v>
      </c>
      <c r="H56" s="3">
        <v>31</v>
      </c>
      <c r="I56" s="3"/>
      <c r="J56" s="3"/>
      <c r="K56" s="3"/>
      <c r="L56" s="3"/>
      <c r="M56" s="3"/>
      <c r="N56" s="3"/>
      <c r="O56" s="3"/>
      <c r="P56" s="3"/>
      <c r="Q56" s="3"/>
      <c r="R56" s="3"/>
      <c r="S56" s="3"/>
      <c r="T56" s="3"/>
      <c r="U56" s="3"/>
      <c r="V56" s="3"/>
      <c r="W56" s="3"/>
      <c r="X56" s="3"/>
      <c r="Y56" s="3"/>
      <c r="Z56" s="3"/>
    </row>
    <row r="57" spans="1:26" x14ac:dyDescent="0.2">
      <c r="A57" s="4" t="str">
        <f ca="1">IFERROR(__xludf.DUMMYFUNCTION("LEFT(A56, 4) &amp; TEXT(REGEXEXTRACT(A56, ""-(\d+)"") + 1, ""000"")"),"DIS-055")</f>
        <v>DIS-055</v>
      </c>
      <c r="B57" s="4" t="str">
        <f t="shared" si="0"/>
        <v>SANGUINOLÊNCIA | -10</v>
      </c>
      <c r="C57" s="4" t="s">
        <v>255</v>
      </c>
      <c r="D57" s="4">
        <v>-10</v>
      </c>
      <c r="E57" s="3" t="s">
        <v>42</v>
      </c>
      <c r="F57" s="3" t="s">
        <v>256</v>
      </c>
      <c r="G57" s="3" t="s">
        <v>11</v>
      </c>
      <c r="H57" s="3">
        <v>31</v>
      </c>
      <c r="I57" s="3"/>
      <c r="J57" s="3"/>
      <c r="K57" s="3"/>
      <c r="L57" s="3"/>
      <c r="M57" s="3"/>
      <c r="N57" s="3"/>
      <c r="O57" s="3"/>
      <c r="P57" s="3"/>
      <c r="Q57" s="3"/>
      <c r="R57" s="3"/>
      <c r="S57" s="3"/>
      <c r="T57" s="3"/>
      <c r="U57" s="3"/>
      <c r="V57" s="3"/>
      <c r="W57" s="3"/>
      <c r="X57" s="3"/>
      <c r="Y57" s="3"/>
      <c r="Z57" s="3"/>
    </row>
    <row r="58" spans="1:26" x14ac:dyDescent="0.2">
      <c r="A58" s="4" t="str">
        <f ca="1">IFERROR(__xludf.DUMMYFUNCTION("LEFT(A57, 4) &amp; TEXT(REGEXEXTRACT(A57, ""-(\d+)"") + 1, ""000"")"),"DIS-056")</f>
        <v>DIS-056</v>
      </c>
      <c r="B58" s="4" t="str">
        <f t="shared" si="0"/>
        <v>COMPULSÃO | -10</v>
      </c>
      <c r="C58" s="4" t="s">
        <v>257</v>
      </c>
      <c r="D58" s="4">
        <v>-10</v>
      </c>
      <c r="E58" s="3" t="s">
        <v>42</v>
      </c>
      <c r="F58" s="3" t="s">
        <v>258</v>
      </c>
      <c r="G58" s="3" t="s">
        <v>11</v>
      </c>
      <c r="H58" s="3">
        <v>32</v>
      </c>
      <c r="I58" s="3"/>
      <c r="J58" s="3"/>
      <c r="K58" s="3"/>
      <c r="L58" s="3"/>
      <c r="M58" s="3"/>
      <c r="N58" s="3"/>
      <c r="O58" s="3"/>
      <c r="P58" s="3"/>
      <c r="Q58" s="3"/>
      <c r="R58" s="3"/>
      <c r="S58" s="3"/>
      <c r="T58" s="3"/>
      <c r="U58" s="3"/>
      <c r="V58" s="3"/>
      <c r="W58" s="3"/>
      <c r="X58" s="3"/>
      <c r="Y58" s="3"/>
      <c r="Z58" s="3"/>
    </row>
    <row r="59" spans="1:26" x14ac:dyDescent="0.2">
      <c r="A59" s="4" t="str">
        <f ca="1">IFERROR(__xludf.DUMMYFUNCTION("LEFT(A58, 4) &amp; TEXT(REGEXEXTRACT(A58, ""-(\d+)"") + 1, ""000"")"),"DIS-057")</f>
        <v>DIS-057</v>
      </c>
      <c r="B59" s="4" t="str">
        <f t="shared" si="0"/>
        <v>COMPULSÃO LEVE | -5</v>
      </c>
      <c r="C59" s="4" t="s">
        <v>259</v>
      </c>
      <c r="D59" s="4">
        <v>-5</v>
      </c>
      <c r="E59" s="3" t="s">
        <v>42</v>
      </c>
      <c r="F59" s="3" t="s">
        <v>258</v>
      </c>
      <c r="G59" s="3" t="s">
        <v>11</v>
      </c>
      <c r="H59" s="3">
        <v>32</v>
      </c>
      <c r="I59" s="3"/>
      <c r="J59" s="3"/>
      <c r="K59" s="3"/>
      <c r="L59" s="3"/>
      <c r="M59" s="3"/>
      <c r="N59" s="3"/>
      <c r="O59" s="3"/>
      <c r="P59" s="3"/>
      <c r="Q59" s="3"/>
      <c r="R59" s="3"/>
      <c r="S59" s="3"/>
      <c r="T59" s="3"/>
      <c r="U59" s="3"/>
      <c r="V59" s="3"/>
      <c r="W59" s="3"/>
      <c r="X59" s="3"/>
      <c r="Y59" s="3"/>
      <c r="Z59" s="3"/>
    </row>
    <row r="60" spans="1:26" x14ac:dyDescent="0.2">
      <c r="A60" s="4" t="str">
        <f ca="1">IFERROR(__xludf.DUMMYFUNCTION("LEFT(A59, 4) &amp; TEXT(REGEXEXTRACT(A59, ""-(\d+)"") + 1, ""000"")"),"DIS-058")</f>
        <v>DIS-058</v>
      </c>
      <c r="B60" s="4" t="str">
        <f t="shared" si="0"/>
        <v>COMPULSÃO PESADA | -15</v>
      </c>
      <c r="C60" s="4" t="s">
        <v>260</v>
      </c>
      <c r="D60" s="4">
        <v>-15</v>
      </c>
      <c r="E60" s="3" t="s">
        <v>42</v>
      </c>
      <c r="F60" s="3" t="s">
        <v>258</v>
      </c>
      <c r="G60" s="3" t="s">
        <v>11</v>
      </c>
      <c r="H60" s="3">
        <v>32</v>
      </c>
      <c r="I60" s="3"/>
      <c r="J60" s="3"/>
      <c r="K60" s="3"/>
      <c r="L60" s="3"/>
      <c r="M60" s="3"/>
      <c r="N60" s="3"/>
      <c r="O60" s="3"/>
      <c r="P60" s="3"/>
      <c r="Q60" s="3"/>
      <c r="R60" s="3"/>
      <c r="S60" s="3"/>
      <c r="T60" s="3"/>
      <c r="U60" s="3"/>
      <c r="V60" s="3"/>
      <c r="W60" s="3"/>
      <c r="X60" s="3"/>
      <c r="Y60" s="3"/>
      <c r="Z60" s="3"/>
    </row>
    <row r="61" spans="1:26" x14ac:dyDescent="0.2">
      <c r="A61" s="4" t="str">
        <f ca="1">IFERROR(__xludf.DUMMYFUNCTION("LEFT(A60, 4) &amp; TEXT(REGEXEXTRACT(A60, ""-(\d+)"") + 1, ""000"")"),"DIS-059")</f>
        <v>DIS-059</v>
      </c>
      <c r="B61" s="4" t="str">
        <f t="shared" si="0"/>
        <v>COVARDIA | -10</v>
      </c>
      <c r="C61" s="4" t="s">
        <v>261</v>
      </c>
      <c r="D61" s="4">
        <v>-10</v>
      </c>
      <c r="E61" s="3" t="s">
        <v>42</v>
      </c>
      <c r="F61" s="3" t="s">
        <v>262</v>
      </c>
      <c r="G61" s="3" t="s">
        <v>11</v>
      </c>
      <c r="H61" s="3">
        <v>32</v>
      </c>
      <c r="I61" s="3"/>
      <c r="J61" s="3"/>
      <c r="K61" s="3"/>
      <c r="L61" s="3"/>
      <c r="M61" s="3"/>
      <c r="N61" s="3"/>
      <c r="O61" s="3"/>
      <c r="P61" s="3"/>
      <c r="Q61" s="3"/>
      <c r="R61" s="3"/>
      <c r="S61" s="3"/>
      <c r="T61" s="3"/>
      <c r="U61" s="3"/>
      <c r="V61" s="3"/>
      <c r="W61" s="3"/>
      <c r="X61" s="3"/>
      <c r="Y61" s="3"/>
      <c r="Z61" s="3"/>
    </row>
    <row r="62" spans="1:26" x14ac:dyDescent="0.2">
      <c r="A62" s="4" t="str">
        <f ca="1">IFERROR(__xludf.DUMMYFUNCTION("LEFT(A61, 4) &amp; TEXT(REGEXEXTRACT(A61, ""-(\d+)"") + 1, ""000"")"),"DIS-060")</f>
        <v>DIS-060</v>
      </c>
      <c r="B62" s="4" t="str">
        <f t="shared" si="0"/>
        <v>FANTASIA | -10</v>
      </c>
      <c r="C62" s="4" t="s">
        <v>263</v>
      </c>
      <c r="D62" s="4">
        <v>-10</v>
      </c>
      <c r="E62" s="3" t="s">
        <v>42</v>
      </c>
      <c r="F62" s="3" t="s">
        <v>264</v>
      </c>
      <c r="G62" s="3" t="s">
        <v>11</v>
      </c>
      <c r="H62" s="3">
        <v>32</v>
      </c>
      <c r="I62" s="3"/>
      <c r="J62" s="3"/>
      <c r="K62" s="3"/>
      <c r="L62" s="3"/>
      <c r="M62" s="3"/>
      <c r="N62" s="3"/>
      <c r="O62" s="3"/>
      <c r="P62" s="3"/>
      <c r="Q62" s="3"/>
      <c r="R62" s="3"/>
      <c r="S62" s="3"/>
      <c r="T62" s="3"/>
      <c r="U62" s="3"/>
      <c r="V62" s="3"/>
      <c r="W62" s="3"/>
      <c r="X62" s="3"/>
      <c r="Y62" s="3"/>
      <c r="Z62" s="3"/>
    </row>
    <row r="63" spans="1:26" x14ac:dyDescent="0.2">
      <c r="A63" s="4" t="str">
        <f ca="1">IFERROR(__xludf.DUMMYFUNCTION("LEFT(A62, 4) &amp; TEXT(REGEXEXTRACT(A62, ""-(\d+)"") + 1, ""000"")"),"DIS-061")</f>
        <v>DIS-061</v>
      </c>
      <c r="B63" s="4" t="str">
        <f t="shared" si="0"/>
        <v>FANTASIA GRAVE | -15</v>
      </c>
      <c r="C63" s="4" t="s">
        <v>265</v>
      </c>
      <c r="D63" s="4">
        <v>-15</v>
      </c>
      <c r="E63" s="3" t="s">
        <v>42</v>
      </c>
      <c r="F63" s="3" t="s">
        <v>266</v>
      </c>
      <c r="G63" s="3" t="s">
        <v>11</v>
      </c>
      <c r="H63" s="3">
        <v>32</v>
      </c>
      <c r="I63" s="3"/>
      <c r="J63" s="3"/>
      <c r="K63" s="3"/>
      <c r="L63" s="3"/>
      <c r="M63" s="3"/>
      <c r="N63" s="3"/>
      <c r="O63" s="3"/>
      <c r="P63" s="3"/>
      <c r="Q63" s="3"/>
      <c r="R63" s="3"/>
      <c r="S63" s="3"/>
      <c r="T63" s="3"/>
      <c r="U63" s="3"/>
      <c r="V63" s="3"/>
      <c r="W63" s="3"/>
      <c r="X63" s="3"/>
      <c r="Y63" s="3"/>
      <c r="Z63" s="3"/>
    </row>
    <row r="64" spans="1:26" x14ac:dyDescent="0.2">
      <c r="A64" s="4" t="str">
        <f ca="1">IFERROR(__xludf.DUMMYFUNCTION("LEFT(A63, 4) &amp; TEXT(REGEXEXTRACT(A63, ""-(\d+)"") + 1, ""000"")"),"DIS-062")</f>
        <v>DIS-062</v>
      </c>
      <c r="B64" s="4" t="str">
        <f t="shared" si="0"/>
        <v>FANTASIA LEVE | -5</v>
      </c>
      <c r="C64" s="4" t="s">
        <v>267</v>
      </c>
      <c r="D64" s="4">
        <v>-5</v>
      </c>
      <c r="E64" s="3" t="s">
        <v>42</v>
      </c>
      <c r="F64" s="3" t="s">
        <v>268</v>
      </c>
      <c r="G64" s="3" t="s">
        <v>11</v>
      </c>
      <c r="H64" s="3">
        <v>32</v>
      </c>
      <c r="I64" s="3"/>
      <c r="J64" s="3"/>
      <c r="K64" s="3"/>
      <c r="L64" s="3"/>
      <c r="M64" s="3"/>
      <c r="N64" s="3"/>
      <c r="O64" s="3"/>
      <c r="P64" s="3"/>
      <c r="Q64" s="3"/>
      <c r="R64" s="3"/>
      <c r="S64" s="3"/>
      <c r="T64" s="3"/>
      <c r="U64" s="3"/>
      <c r="V64" s="3"/>
      <c r="W64" s="3"/>
      <c r="X64" s="3"/>
      <c r="Y64" s="3"/>
      <c r="Z64" s="3"/>
    </row>
    <row r="65" spans="1:26" x14ac:dyDescent="0.2">
      <c r="A65" s="4" t="str">
        <f ca="1">IFERROR(__xludf.DUMMYFUNCTION("LEFT(A64, 4) &amp; TEXT(REGEXEXTRACT(A64, ""-(\d+)"") + 1, ""000"")"),"DIS-063")</f>
        <v>DIS-063</v>
      </c>
      <c r="B65" s="4" t="str">
        <f t="shared" si="0"/>
        <v>INVEJA | -10</v>
      </c>
      <c r="C65" s="4" t="s">
        <v>269</v>
      </c>
      <c r="D65" s="4">
        <v>-10</v>
      </c>
      <c r="E65" s="3" t="s">
        <v>42</v>
      </c>
      <c r="F65" s="3" t="s">
        <v>270</v>
      </c>
      <c r="G65" s="3" t="s">
        <v>11</v>
      </c>
      <c r="H65" s="3">
        <v>32</v>
      </c>
      <c r="I65" s="3"/>
      <c r="J65" s="3"/>
      <c r="K65" s="3"/>
      <c r="L65" s="3"/>
      <c r="M65" s="3"/>
      <c r="N65" s="3"/>
      <c r="O65" s="3"/>
      <c r="P65" s="3"/>
      <c r="Q65" s="3"/>
      <c r="R65" s="3"/>
      <c r="S65" s="3"/>
      <c r="T65" s="3"/>
      <c r="U65" s="3"/>
      <c r="V65" s="3"/>
      <c r="W65" s="3"/>
      <c r="X65" s="3"/>
      <c r="Y65" s="3"/>
      <c r="Z65" s="3"/>
    </row>
    <row r="66" spans="1:26" x14ac:dyDescent="0.2">
      <c r="A66" s="4" t="str">
        <f ca="1">IFERROR(__xludf.DUMMYFUNCTION("LEFT(A65, 4) &amp; TEXT(REGEXEXTRACT(A65, ""-(\d+)"") + 1, ""000"")"),"DIS-064")</f>
        <v>DIS-064</v>
      </c>
      <c r="B66" s="4" t="str">
        <f t="shared" si="0"/>
        <v>MENTIR COMPULSIVAMENTE | -15</v>
      </c>
      <c r="C66" s="4" t="s">
        <v>271</v>
      </c>
      <c r="D66" s="4">
        <v>-15</v>
      </c>
      <c r="E66" s="3" t="s">
        <v>42</v>
      </c>
      <c r="F66" s="3" t="s">
        <v>272</v>
      </c>
      <c r="G66" s="3" t="s">
        <v>11</v>
      </c>
      <c r="H66" s="3">
        <v>32</v>
      </c>
      <c r="I66" s="3"/>
      <c r="J66" s="3"/>
      <c r="K66" s="3"/>
      <c r="L66" s="3"/>
      <c r="M66" s="3"/>
      <c r="N66" s="3"/>
      <c r="O66" s="3"/>
      <c r="P66" s="3"/>
      <c r="Q66" s="3"/>
      <c r="R66" s="3"/>
      <c r="S66" s="3"/>
      <c r="T66" s="3"/>
      <c r="U66" s="3"/>
      <c r="V66" s="3"/>
      <c r="W66" s="3"/>
      <c r="X66" s="3"/>
      <c r="Y66" s="3"/>
      <c r="Z66" s="3"/>
    </row>
    <row r="67" spans="1:26" x14ac:dyDescent="0.2">
      <c r="A67" s="4" t="str">
        <f ca="1">IFERROR(__xludf.DUMMYFUNCTION("LEFT(A66, 4) &amp; TEXT(REGEXEXTRACT(A66, ""-(\d+)"") + 1, ""000"")"),"DIS-065")</f>
        <v>DIS-065</v>
      </c>
      <c r="B67" s="4" t="str">
        <f t="shared" si="0"/>
        <v>PARALISIA FRENTE A COMBATE | -15</v>
      </c>
      <c r="C67" s="4" t="s">
        <v>273</v>
      </c>
      <c r="D67" s="4">
        <v>-15</v>
      </c>
      <c r="E67" s="3" t="s">
        <v>42</v>
      </c>
      <c r="F67" s="3" t="s">
        <v>274</v>
      </c>
      <c r="G67" s="3" t="s">
        <v>11</v>
      </c>
      <c r="H67" s="3">
        <v>32</v>
      </c>
      <c r="I67" s="3"/>
      <c r="J67" s="3"/>
      <c r="K67" s="3"/>
      <c r="L67" s="3"/>
      <c r="M67" s="3"/>
      <c r="N67" s="3"/>
      <c r="O67" s="3"/>
      <c r="P67" s="3"/>
      <c r="Q67" s="3"/>
      <c r="R67" s="3"/>
      <c r="S67" s="3"/>
      <c r="T67" s="3"/>
      <c r="U67" s="3"/>
      <c r="V67" s="3"/>
      <c r="W67" s="3"/>
      <c r="X67" s="3"/>
      <c r="Y67" s="3"/>
      <c r="Z67" s="3"/>
    </row>
    <row r="68" spans="1:26" x14ac:dyDescent="0.2">
      <c r="A68" s="4" t="str">
        <f ca="1">IFERROR(__xludf.DUMMYFUNCTION("LEFT(A67, 4) &amp; TEXT(REGEXEXTRACT(A67, ""-(\d+)"") + 1, ""000"")"),"DIS-066")</f>
        <v>DIS-066</v>
      </c>
      <c r="B68" s="4" t="str">
        <f t="shared" si="0"/>
        <v>ANALFABETISMO | -10</v>
      </c>
      <c r="C68" s="4" t="s">
        <v>275</v>
      </c>
      <c r="D68" s="4">
        <v>-10</v>
      </c>
      <c r="E68" s="3" t="s">
        <v>42</v>
      </c>
      <c r="F68" s="3" t="s">
        <v>276</v>
      </c>
      <c r="G68" s="3" t="s">
        <v>11</v>
      </c>
      <c r="H68" s="3">
        <v>33</v>
      </c>
      <c r="I68" s="3"/>
      <c r="J68" s="3"/>
      <c r="K68" s="3"/>
      <c r="L68" s="3"/>
      <c r="M68" s="3"/>
      <c r="N68" s="3"/>
      <c r="O68" s="3"/>
      <c r="P68" s="3"/>
      <c r="Q68" s="3"/>
      <c r="R68" s="3"/>
      <c r="S68" s="3"/>
      <c r="T68" s="3"/>
      <c r="U68" s="3"/>
      <c r="V68" s="3"/>
      <c r="W68" s="3"/>
      <c r="X68" s="3"/>
      <c r="Y68" s="3"/>
      <c r="Z68" s="3"/>
    </row>
    <row r="69" spans="1:26" x14ac:dyDescent="0.2">
      <c r="A69" s="4" t="str">
        <f ca="1">IFERROR(__xludf.DUMMYFUNCTION("LEFT(A68, 4) &amp; TEXT(REGEXEXTRACT(A68, ""-(\d+)"") + 1, ""000"")"),"DIS-067")</f>
        <v>DIS-067</v>
      </c>
      <c r="B69" s="4" t="str">
        <f t="shared" si="0"/>
        <v>COBIÇA | -15</v>
      </c>
      <c r="C69" s="4" t="s">
        <v>277</v>
      </c>
      <c r="D69" s="4">
        <v>-15</v>
      </c>
      <c r="E69" s="3" t="s">
        <v>42</v>
      </c>
      <c r="F69" s="3" t="s">
        <v>278</v>
      </c>
      <c r="G69" s="3" t="s">
        <v>11</v>
      </c>
      <c r="H69" s="3">
        <v>33</v>
      </c>
      <c r="I69" s="3"/>
      <c r="J69" s="3"/>
      <c r="K69" s="3"/>
      <c r="L69" s="3"/>
      <c r="M69" s="3"/>
      <c r="N69" s="3"/>
      <c r="O69" s="3"/>
      <c r="P69" s="3"/>
      <c r="Q69" s="3"/>
      <c r="R69" s="3"/>
      <c r="S69" s="3"/>
      <c r="T69" s="3"/>
      <c r="U69" s="3"/>
      <c r="V69" s="3"/>
      <c r="W69" s="3"/>
      <c r="X69" s="3"/>
      <c r="Y69" s="3"/>
      <c r="Z69" s="3"/>
    </row>
    <row r="70" spans="1:26" x14ac:dyDescent="0.2">
      <c r="A70" s="4" t="str">
        <f ca="1">IFERROR(__xludf.DUMMYFUNCTION("LEFT(A69, 4) &amp; TEXT(REGEXEXTRACT(A69, ""-(\d+)"") + 1, ""000"")"),"DIS-068")</f>
        <v>DIS-068</v>
      </c>
      <c r="B70" s="4" t="str">
        <f t="shared" si="0"/>
        <v>CREDULIDADE | -10</v>
      </c>
      <c r="C70" s="4" t="s">
        <v>279</v>
      </c>
      <c r="D70" s="4">
        <v>-10</v>
      </c>
      <c r="E70" s="3" t="s">
        <v>42</v>
      </c>
      <c r="F70" s="3" t="s">
        <v>280</v>
      </c>
      <c r="G70" s="3" t="s">
        <v>11</v>
      </c>
      <c r="H70" s="3">
        <v>33</v>
      </c>
      <c r="I70" s="3"/>
      <c r="J70" s="3"/>
      <c r="K70" s="3"/>
      <c r="L70" s="3"/>
      <c r="M70" s="3"/>
      <c r="N70" s="3"/>
      <c r="O70" s="3"/>
      <c r="P70" s="3"/>
      <c r="Q70" s="3"/>
      <c r="R70" s="3"/>
      <c r="S70" s="3"/>
      <c r="T70" s="3"/>
      <c r="U70" s="3"/>
      <c r="V70" s="3"/>
      <c r="W70" s="3"/>
      <c r="X70" s="3"/>
      <c r="Y70" s="3"/>
      <c r="Z70" s="3"/>
    </row>
    <row r="71" spans="1:26" x14ac:dyDescent="0.2">
      <c r="A71" s="4" t="str">
        <f ca="1">IFERROR(__xludf.DUMMYFUNCTION("LEFT(A70, 4) &amp; TEXT(REGEXEXTRACT(A70, ""-(\d+)"") + 1, ""000"")"),"DIS-069")</f>
        <v>DIS-069</v>
      </c>
      <c r="B71" s="4" t="str">
        <f t="shared" si="0"/>
        <v>DISLEXIA GRAVE | -15</v>
      </c>
      <c r="C71" s="4" t="s">
        <v>281</v>
      </c>
      <c r="D71" s="4">
        <v>-15</v>
      </c>
      <c r="E71" s="3" t="s">
        <v>42</v>
      </c>
      <c r="F71" s="3" t="s">
        <v>282</v>
      </c>
      <c r="G71" s="3" t="s">
        <v>11</v>
      </c>
      <c r="H71" s="3">
        <v>33</v>
      </c>
      <c r="I71" s="3"/>
      <c r="J71" s="3"/>
      <c r="K71" s="3"/>
      <c r="L71" s="3"/>
      <c r="M71" s="3"/>
      <c r="N71" s="3"/>
      <c r="O71" s="3"/>
      <c r="P71" s="3"/>
      <c r="Q71" s="3"/>
      <c r="R71" s="3"/>
      <c r="S71" s="3"/>
      <c r="T71" s="3"/>
      <c r="U71" s="3"/>
      <c r="V71" s="3"/>
      <c r="W71" s="3"/>
      <c r="X71" s="3"/>
      <c r="Y71" s="3"/>
      <c r="Z71" s="3"/>
    </row>
    <row r="72" spans="1:26" x14ac:dyDescent="0.2">
      <c r="A72" s="4" t="str">
        <f ca="1">IFERROR(__xludf.DUMMYFUNCTION("LEFT(A71, 4) &amp; TEXT(REGEXEXTRACT(A71, ""-(\d+)"") + 1, ""000"")"),"DIS-070")</f>
        <v>DIS-070</v>
      </c>
      <c r="B72" s="4" t="str">
        <f t="shared" si="0"/>
        <v>DISLEXIA LEVE | -5</v>
      </c>
      <c r="C72" s="4" t="s">
        <v>283</v>
      </c>
      <c r="D72" s="4">
        <v>-5</v>
      </c>
      <c r="E72" s="3" t="s">
        <v>42</v>
      </c>
      <c r="F72" s="3" t="s">
        <v>282</v>
      </c>
      <c r="G72" s="3" t="s">
        <v>11</v>
      </c>
      <c r="H72" s="3">
        <v>33</v>
      </c>
      <c r="I72" s="3"/>
      <c r="J72" s="3"/>
      <c r="K72" s="3"/>
      <c r="L72" s="3"/>
      <c r="M72" s="3"/>
      <c r="N72" s="3"/>
      <c r="O72" s="3"/>
      <c r="P72" s="3"/>
      <c r="Q72" s="3"/>
      <c r="R72" s="3"/>
      <c r="S72" s="3"/>
      <c r="T72" s="3"/>
      <c r="U72" s="3"/>
      <c r="V72" s="3"/>
      <c r="W72" s="3"/>
      <c r="X72" s="3"/>
      <c r="Y72" s="3"/>
      <c r="Z72" s="3"/>
    </row>
    <row r="73" spans="1:26" x14ac:dyDescent="0.2">
      <c r="A73" s="4" t="str">
        <f ca="1">IFERROR(__xludf.DUMMYFUNCTION("LEFT(A72, 4) &amp; TEXT(REGEXEXTRACT(A72, ""-(\d+)"") + 1, ""000"")"),"DIS-071")</f>
        <v>DIS-071</v>
      </c>
      <c r="B73" s="4" t="str">
        <f t="shared" si="0"/>
        <v>FANATISMO | -15</v>
      </c>
      <c r="C73" s="4" t="s">
        <v>284</v>
      </c>
      <c r="D73" s="4">
        <v>-15</v>
      </c>
      <c r="E73" s="3" t="s">
        <v>42</v>
      </c>
      <c r="F73" s="3" t="s">
        <v>285</v>
      </c>
      <c r="G73" s="3" t="s">
        <v>11</v>
      </c>
      <c r="H73" s="3">
        <v>33</v>
      </c>
      <c r="I73" s="3"/>
      <c r="J73" s="3"/>
      <c r="K73" s="3"/>
      <c r="L73" s="3"/>
      <c r="M73" s="3"/>
      <c r="N73" s="3"/>
      <c r="O73" s="3"/>
      <c r="P73" s="3"/>
      <c r="Q73" s="3"/>
      <c r="R73" s="3"/>
      <c r="S73" s="3"/>
      <c r="T73" s="3"/>
      <c r="U73" s="3"/>
      <c r="V73" s="3"/>
      <c r="W73" s="3"/>
      <c r="X73" s="3"/>
      <c r="Y73" s="3"/>
      <c r="Z73" s="3"/>
    </row>
    <row r="74" spans="1:26" x14ac:dyDescent="0.2">
      <c r="A74" s="4" t="str">
        <f ca="1">IFERROR(__xludf.DUMMYFUNCTION("LEFT(A73, 4) &amp; TEXT(REGEXEXTRACT(A73, ""-(\d+)"") + 1, ""000"")"),"DIS-072")</f>
        <v>DIS-072</v>
      </c>
      <c r="B74" s="4" t="str">
        <f t="shared" si="0"/>
        <v>GULA | -5</v>
      </c>
      <c r="C74" s="4" t="s">
        <v>286</v>
      </c>
      <c r="D74" s="4">
        <v>-5</v>
      </c>
      <c r="E74" s="3" t="s">
        <v>42</v>
      </c>
      <c r="F74" s="3" t="s">
        <v>287</v>
      </c>
      <c r="G74" s="3" t="s">
        <v>11</v>
      </c>
      <c r="H74" s="3">
        <v>33</v>
      </c>
      <c r="I74" s="3"/>
      <c r="J74" s="3"/>
      <c r="K74" s="3"/>
      <c r="L74" s="3"/>
      <c r="M74" s="3"/>
      <c r="N74" s="3"/>
      <c r="O74" s="3"/>
      <c r="P74" s="3"/>
      <c r="Q74" s="3"/>
      <c r="R74" s="3"/>
      <c r="S74" s="3"/>
      <c r="T74" s="3"/>
      <c r="U74" s="3"/>
      <c r="V74" s="3"/>
      <c r="W74" s="3"/>
      <c r="X74" s="3"/>
      <c r="Y74" s="3"/>
      <c r="Z74" s="3"/>
    </row>
    <row r="75" spans="1:26" x14ac:dyDescent="0.2">
      <c r="A75" s="4" t="str">
        <f ca="1">IFERROR(__xludf.DUMMYFUNCTION("LEFT(A74, 4) &amp; TEXT(REGEXEXTRACT(A74, ""-(\d+)"") + 1, ""000"")"),"DIS-073")</f>
        <v>DIS-073</v>
      </c>
      <c r="B75" s="4" t="str">
        <f t="shared" si="0"/>
        <v>HONESTIDADE | -10</v>
      </c>
      <c r="C75" s="4" t="s">
        <v>288</v>
      </c>
      <c r="D75" s="4">
        <v>-10</v>
      </c>
      <c r="E75" s="3" t="s">
        <v>42</v>
      </c>
      <c r="F75" s="3" t="s">
        <v>289</v>
      </c>
      <c r="G75" s="3" t="s">
        <v>11</v>
      </c>
      <c r="H75" s="3">
        <v>33</v>
      </c>
      <c r="I75" s="3"/>
      <c r="J75" s="3"/>
      <c r="K75" s="3"/>
      <c r="L75" s="3"/>
      <c r="M75" s="3"/>
      <c r="N75" s="3"/>
      <c r="O75" s="3"/>
      <c r="P75" s="3"/>
      <c r="Q75" s="3"/>
      <c r="R75" s="3"/>
      <c r="S75" s="3"/>
      <c r="T75" s="3"/>
      <c r="U75" s="3"/>
      <c r="V75" s="3"/>
      <c r="W75" s="3"/>
      <c r="X75" s="3"/>
      <c r="Y75" s="3"/>
      <c r="Z75" s="3"/>
    </row>
    <row r="76" spans="1:26" x14ac:dyDescent="0.2">
      <c r="A76" s="4" t="str">
        <f ca="1">IFERROR(__xludf.DUMMYFUNCTION("LEFT(A75, 4) &amp; TEXT(REGEXEXTRACT(A75, ""-(\d+)"") + 1, ""000"")"),"DIS-074")</f>
        <v>DIS-074</v>
      </c>
      <c r="B76" s="4" t="str">
        <f t="shared" si="0"/>
        <v>IMPULSIVIDADE | -10</v>
      </c>
      <c r="C76" s="4" t="s">
        <v>290</v>
      </c>
      <c r="D76" s="4">
        <v>-10</v>
      </c>
      <c r="E76" s="3" t="s">
        <v>42</v>
      </c>
      <c r="F76" s="3" t="s">
        <v>291</v>
      </c>
      <c r="G76" s="3" t="s">
        <v>11</v>
      </c>
      <c r="H76" s="3">
        <v>33</v>
      </c>
      <c r="I76" s="3"/>
      <c r="J76" s="3"/>
      <c r="K76" s="3"/>
      <c r="L76" s="3"/>
      <c r="M76" s="3"/>
      <c r="N76" s="3"/>
      <c r="O76" s="3"/>
      <c r="P76" s="3"/>
      <c r="Q76" s="3"/>
      <c r="R76" s="3"/>
      <c r="S76" s="3"/>
      <c r="T76" s="3"/>
      <c r="U76" s="3"/>
      <c r="V76" s="3"/>
      <c r="W76" s="3"/>
      <c r="X76" s="3"/>
      <c r="Y76" s="3"/>
      <c r="Z76" s="3"/>
    </row>
    <row r="77" spans="1:26" x14ac:dyDescent="0.2">
      <c r="A77" s="4" t="str">
        <f ca="1">IFERROR(__xludf.DUMMYFUNCTION("LEFT(A76, 4) &amp; TEXT(REGEXEXTRACT(A76, ""-(\d+)"") + 1, ""000"")"),"DIS-075")</f>
        <v>DIS-075</v>
      </c>
      <c r="B77" s="4" t="str">
        <f t="shared" si="0"/>
        <v>AVAREZA | -10</v>
      </c>
      <c r="C77" s="4" t="s">
        <v>292</v>
      </c>
      <c r="D77" s="4">
        <v>-10</v>
      </c>
      <c r="E77" s="3" t="s">
        <v>42</v>
      </c>
      <c r="F77" s="3" t="s">
        <v>293</v>
      </c>
      <c r="G77" s="3" t="s">
        <v>11</v>
      </c>
      <c r="H77" s="3">
        <v>34</v>
      </c>
      <c r="I77" s="3"/>
      <c r="J77" s="3"/>
      <c r="K77" s="3"/>
      <c r="L77" s="3"/>
      <c r="M77" s="3"/>
      <c r="N77" s="3"/>
      <c r="O77" s="3"/>
      <c r="P77" s="3"/>
      <c r="Q77" s="3"/>
      <c r="R77" s="3"/>
      <c r="S77" s="3"/>
      <c r="T77" s="3"/>
      <c r="U77" s="3"/>
      <c r="V77" s="3"/>
      <c r="W77" s="3"/>
      <c r="X77" s="3"/>
      <c r="Y77" s="3"/>
      <c r="Z77" s="3"/>
    </row>
    <row r="78" spans="1:26" x14ac:dyDescent="0.2">
      <c r="A78" s="4" t="str">
        <f ca="1">IFERROR(__xludf.DUMMYFUNCTION("LEFT(A77, 4) &amp; TEXT(REGEXEXTRACT(A77, ""-(\d+)"") + 1, ""000"")"),"DIS-076")</f>
        <v>DIS-076</v>
      </c>
      <c r="B78" s="4" t="str">
        <f t="shared" si="0"/>
        <v>CLEPTOMANIA | -15</v>
      </c>
      <c r="C78" s="4" t="s">
        <v>294</v>
      </c>
      <c r="D78" s="4">
        <v>-15</v>
      </c>
      <c r="E78" s="3" t="s">
        <v>42</v>
      </c>
      <c r="F78" s="3" t="s">
        <v>295</v>
      </c>
      <c r="G78" s="3" t="s">
        <v>11</v>
      </c>
      <c r="H78" s="3">
        <v>34</v>
      </c>
      <c r="I78" s="3"/>
      <c r="J78" s="3"/>
      <c r="K78" s="3"/>
      <c r="L78" s="3"/>
      <c r="M78" s="3"/>
      <c r="N78" s="3"/>
      <c r="O78" s="3"/>
      <c r="P78" s="3"/>
      <c r="Q78" s="3"/>
      <c r="R78" s="3"/>
      <c r="S78" s="3"/>
      <c r="T78" s="3"/>
      <c r="U78" s="3"/>
      <c r="V78" s="3"/>
      <c r="W78" s="3"/>
      <c r="X78" s="3"/>
      <c r="Y78" s="3"/>
      <c r="Z78" s="3"/>
    </row>
    <row r="79" spans="1:26" x14ac:dyDescent="0.2">
      <c r="A79" s="4" t="str">
        <f ca="1">IFERROR(__xludf.DUMMYFUNCTION("LEFT(A78, 4) &amp; TEXT(REGEXEXTRACT(A78, ""-(\d+)"") + 1, ""000"")"),"DIS-077")</f>
        <v>DIS-077</v>
      </c>
      <c r="B79" s="4" t="str">
        <f t="shared" si="0"/>
        <v>EXCESSO DE CONFIANÇA | -10</v>
      </c>
      <c r="C79" s="4" t="s">
        <v>296</v>
      </c>
      <c r="D79" s="4">
        <v>-10</v>
      </c>
      <c r="E79" s="3" t="s">
        <v>42</v>
      </c>
      <c r="F79" s="3" t="s">
        <v>297</v>
      </c>
      <c r="G79" s="3" t="s">
        <v>11</v>
      </c>
      <c r="H79" s="3">
        <v>34</v>
      </c>
      <c r="I79" s="3"/>
      <c r="J79" s="3"/>
      <c r="K79" s="3"/>
      <c r="L79" s="3"/>
      <c r="M79" s="3"/>
      <c r="N79" s="3"/>
      <c r="O79" s="3"/>
      <c r="P79" s="3"/>
      <c r="Q79" s="3"/>
      <c r="R79" s="3"/>
      <c r="S79" s="3"/>
      <c r="T79" s="3"/>
      <c r="U79" s="3"/>
      <c r="V79" s="3"/>
      <c r="W79" s="3"/>
      <c r="X79" s="3"/>
      <c r="Y79" s="3"/>
      <c r="Z79" s="3"/>
    </row>
    <row r="80" spans="1:26" x14ac:dyDescent="0.2">
      <c r="A80" s="4" t="str">
        <f ca="1">IFERROR(__xludf.DUMMYFUNCTION("LEFT(A79, 4) &amp; TEXT(REGEXEXTRACT(A79, ""-(\d+)"") + 1, ""000"")"),"DIS-078")</f>
        <v>DIS-078</v>
      </c>
      <c r="B80" s="4" t="str">
        <f t="shared" si="0"/>
        <v>INTOLERÂNCIA | -10</v>
      </c>
      <c r="C80" s="4" t="s">
        <v>298</v>
      </c>
      <c r="D80" s="4">
        <v>-10</v>
      </c>
      <c r="E80" s="3" t="s">
        <v>42</v>
      </c>
      <c r="F80" s="3" t="s">
        <v>299</v>
      </c>
      <c r="G80" s="3" t="s">
        <v>11</v>
      </c>
      <c r="H80" s="3">
        <v>34</v>
      </c>
      <c r="I80" s="3"/>
      <c r="J80" s="3"/>
      <c r="K80" s="3"/>
      <c r="L80" s="3"/>
      <c r="M80" s="3"/>
      <c r="N80" s="3"/>
      <c r="O80" s="3"/>
      <c r="P80" s="3"/>
      <c r="Q80" s="3"/>
      <c r="R80" s="3"/>
      <c r="S80" s="3"/>
      <c r="T80" s="3"/>
      <c r="U80" s="3"/>
      <c r="V80" s="3"/>
      <c r="W80" s="3"/>
      <c r="X80" s="3"/>
      <c r="Y80" s="3"/>
      <c r="Z80" s="3"/>
    </row>
    <row r="81" spans="1:26" x14ac:dyDescent="0.2">
      <c r="A81" s="4" t="str">
        <f ca="1">IFERROR(__xludf.DUMMYFUNCTION("LEFT(A80, 4) &amp; TEXT(REGEXEXTRACT(A80, ""-(\d+)"") + 1, ""000"")"),"DIS-079")</f>
        <v>DIS-079</v>
      </c>
      <c r="B81" s="4" t="str">
        <f t="shared" si="0"/>
        <v>INTOLERÂNCIA LEVE | -5</v>
      </c>
      <c r="C81" s="4" t="s">
        <v>300</v>
      </c>
      <c r="D81" s="4">
        <v>-5</v>
      </c>
      <c r="E81" s="3" t="s">
        <v>42</v>
      </c>
      <c r="F81" s="3" t="s">
        <v>299</v>
      </c>
      <c r="G81" s="3" t="s">
        <v>11</v>
      </c>
      <c r="H81" s="3">
        <v>34</v>
      </c>
      <c r="I81" s="3"/>
      <c r="J81" s="3"/>
      <c r="K81" s="3"/>
      <c r="L81" s="3"/>
      <c r="M81" s="3"/>
      <c r="N81" s="3"/>
      <c r="O81" s="3"/>
      <c r="P81" s="3"/>
      <c r="Q81" s="3"/>
      <c r="R81" s="3"/>
      <c r="S81" s="3"/>
      <c r="T81" s="3"/>
      <c r="U81" s="3"/>
      <c r="V81" s="3"/>
      <c r="W81" s="3"/>
      <c r="X81" s="3"/>
      <c r="Y81" s="3"/>
      <c r="Z81" s="3"/>
    </row>
    <row r="82" spans="1:26" x14ac:dyDescent="0.2">
      <c r="A82" s="4" t="str">
        <f ca="1">IFERROR(__xludf.DUMMYFUNCTION("LEFT(A81, 4) &amp; TEXT(REGEXEXTRACT(A81, ""-(\d+)"") + 1, ""000"")"),"DIS-080")</f>
        <v>DIS-080</v>
      </c>
      <c r="B82" s="4" t="str">
        <f t="shared" si="0"/>
        <v>LUXÚRIA | -15</v>
      </c>
      <c r="C82" s="4" t="s">
        <v>301</v>
      </c>
      <c r="D82" s="4">
        <v>-15</v>
      </c>
      <c r="E82" s="3" t="s">
        <v>42</v>
      </c>
      <c r="F82" s="3" t="s">
        <v>302</v>
      </c>
      <c r="G82" s="3" t="s">
        <v>11</v>
      </c>
      <c r="H82" s="3">
        <v>34</v>
      </c>
      <c r="I82" s="3"/>
      <c r="J82" s="3"/>
      <c r="K82" s="3"/>
      <c r="L82" s="3"/>
      <c r="M82" s="3"/>
      <c r="N82" s="3"/>
      <c r="O82" s="3"/>
      <c r="P82" s="3"/>
      <c r="Q82" s="3"/>
      <c r="R82" s="3"/>
      <c r="S82" s="3"/>
      <c r="T82" s="3"/>
      <c r="U82" s="3"/>
      <c r="V82" s="3"/>
      <c r="W82" s="3"/>
      <c r="X82" s="3"/>
      <c r="Y82" s="3"/>
      <c r="Z82" s="3"/>
    </row>
    <row r="83" spans="1:26" x14ac:dyDescent="0.2">
      <c r="A83" s="4" t="str">
        <f ca="1">IFERROR(__xludf.DUMMYFUNCTION("LEFT(A82, 4) &amp; TEXT(REGEXEXTRACT(A82, ""-(\d+)"") + 1, ""000"")"),"DIS-081")</f>
        <v>DIS-081</v>
      </c>
      <c r="B83" s="4" t="str">
        <f t="shared" si="0"/>
        <v>MEGALOMANIA | -10</v>
      </c>
      <c r="C83" s="4" t="s">
        <v>303</v>
      </c>
      <c r="D83" s="4">
        <v>-10</v>
      </c>
      <c r="E83" s="3" t="s">
        <v>42</v>
      </c>
      <c r="F83" s="3" t="s">
        <v>304</v>
      </c>
      <c r="G83" s="3" t="s">
        <v>11</v>
      </c>
      <c r="H83" s="3">
        <v>34</v>
      </c>
      <c r="I83" s="3"/>
      <c r="J83" s="3"/>
      <c r="K83" s="3"/>
      <c r="L83" s="3"/>
      <c r="M83" s="3"/>
      <c r="N83" s="3"/>
      <c r="O83" s="3"/>
      <c r="P83" s="3"/>
      <c r="Q83" s="3"/>
      <c r="R83" s="3"/>
      <c r="S83" s="3"/>
      <c r="T83" s="3"/>
      <c r="U83" s="3"/>
      <c r="V83" s="3"/>
      <c r="W83" s="3"/>
      <c r="X83" s="3"/>
      <c r="Y83" s="3"/>
      <c r="Z83" s="3"/>
    </row>
    <row r="84" spans="1:26" x14ac:dyDescent="0.2">
      <c r="A84" s="4" t="str">
        <f ca="1">IFERROR(__xludf.DUMMYFUNCTION("LEFT(A83, 4) &amp; TEXT(REGEXEXTRACT(A83, ""-(\d+)"") + 1, ""000"")"),"DIS-082")</f>
        <v>DIS-082</v>
      </c>
      <c r="B84" s="4" t="str">
        <f t="shared" si="0"/>
        <v>PREGUIÇA | -10</v>
      </c>
      <c r="C84" s="4" t="s">
        <v>305</v>
      </c>
      <c r="D84" s="4">
        <v>-10</v>
      </c>
      <c r="E84" s="3" t="s">
        <v>42</v>
      </c>
      <c r="F84" s="3" t="s">
        <v>306</v>
      </c>
      <c r="G84" s="3" t="s">
        <v>11</v>
      </c>
      <c r="H84" s="3">
        <v>34</v>
      </c>
      <c r="I84" s="3"/>
      <c r="J84" s="3"/>
      <c r="K84" s="3"/>
      <c r="L84" s="3"/>
      <c r="M84" s="3"/>
      <c r="N84" s="3"/>
      <c r="O84" s="3"/>
      <c r="P84" s="3"/>
      <c r="Q84" s="3"/>
      <c r="R84" s="3"/>
      <c r="S84" s="3"/>
      <c r="T84" s="3"/>
      <c r="U84" s="3"/>
      <c r="V84" s="3"/>
      <c r="W84" s="3"/>
      <c r="X84" s="3"/>
      <c r="Y84" s="3"/>
      <c r="Z84" s="3"/>
    </row>
    <row r="85" spans="1:26" x14ac:dyDescent="0.2">
      <c r="A85" s="4" t="str">
        <f ca="1">IFERROR(__xludf.DUMMYFUNCTION("LEFT(A84, 4) &amp; TEXT(REGEXEXTRACT(A84, ""-(\d+)"") + 1, ""000"")"),"DIS-083")</f>
        <v>DIS-083</v>
      </c>
      <c r="B85" s="4" t="str">
        <f t="shared" si="0"/>
        <v>FOBIA GRAVE | -30</v>
      </c>
      <c r="C85" s="4" t="s">
        <v>307</v>
      </c>
      <c r="D85" s="4">
        <v>-30</v>
      </c>
      <c r="E85" s="3" t="s">
        <v>42</v>
      </c>
      <c r="F85" s="3" t="s">
        <v>308</v>
      </c>
      <c r="G85" s="3" t="s">
        <v>11</v>
      </c>
      <c r="H85" s="3">
        <v>35</v>
      </c>
      <c r="I85" s="3"/>
      <c r="J85" s="3"/>
      <c r="K85" s="3"/>
      <c r="L85" s="3"/>
      <c r="M85" s="3"/>
      <c r="N85" s="3"/>
      <c r="O85" s="3"/>
      <c r="P85" s="3"/>
      <c r="Q85" s="3"/>
      <c r="R85" s="3"/>
      <c r="S85" s="3"/>
      <c r="T85" s="3"/>
      <c r="U85" s="3"/>
      <c r="V85" s="3"/>
      <c r="W85" s="3"/>
      <c r="X85" s="3"/>
      <c r="Y85" s="3"/>
      <c r="Z85" s="3"/>
    </row>
    <row r="86" spans="1:26" x14ac:dyDescent="0.2">
      <c r="A86" s="4" t="str">
        <f ca="1">IFERROR(__xludf.DUMMYFUNCTION("LEFT(A85, 4) &amp; TEXT(REGEXEXTRACT(A85, ""-(\d+)"") + 1, ""000"")"),"DIS-084")</f>
        <v>DIS-084</v>
      </c>
      <c r="B86" s="4" t="str">
        <f t="shared" si="0"/>
        <v>FOBIA LEVE | -10</v>
      </c>
      <c r="C86" s="4" t="s">
        <v>309</v>
      </c>
      <c r="D86" s="4">
        <v>-10</v>
      </c>
      <c r="E86" s="3" t="s">
        <v>42</v>
      </c>
      <c r="F86" s="3" t="s">
        <v>308</v>
      </c>
      <c r="G86" s="3" t="s">
        <v>11</v>
      </c>
      <c r="H86" s="3">
        <v>35</v>
      </c>
      <c r="I86" s="3"/>
      <c r="J86" s="3"/>
      <c r="K86" s="3"/>
      <c r="L86" s="3"/>
      <c r="M86" s="3"/>
      <c r="N86" s="3"/>
      <c r="O86" s="3"/>
      <c r="P86" s="3"/>
      <c r="Q86" s="3"/>
      <c r="R86" s="3"/>
      <c r="S86" s="3"/>
      <c r="T86" s="3"/>
      <c r="U86" s="3"/>
      <c r="V86" s="3"/>
      <c r="W86" s="3"/>
      <c r="X86" s="3"/>
      <c r="Y86" s="3"/>
      <c r="Z86" s="3"/>
    </row>
    <row r="87" spans="1:26" x14ac:dyDescent="0.2">
      <c r="A87" s="4" t="str">
        <f ca="1">IFERROR(__xludf.DUMMYFUNCTION("LEFT(A86, 4) &amp; TEXT(REGEXEXTRACT(A86, ""-(\d+)"") + 1, ""000"")"),"DIS-085")</f>
        <v>DIS-085</v>
      </c>
      <c r="B87" s="4" t="str">
        <f t="shared" si="0"/>
        <v>FOBIA MÉDIA | -15</v>
      </c>
      <c r="C87" s="4" t="s">
        <v>310</v>
      </c>
      <c r="D87" s="4">
        <v>-15</v>
      </c>
      <c r="E87" s="3" t="s">
        <v>42</v>
      </c>
      <c r="F87" s="3" t="s">
        <v>308</v>
      </c>
      <c r="G87" s="3" t="s">
        <v>11</v>
      </c>
      <c r="H87" s="3">
        <v>35</v>
      </c>
      <c r="I87" s="3"/>
      <c r="J87" s="3"/>
      <c r="K87" s="3"/>
      <c r="L87" s="3"/>
      <c r="M87" s="3"/>
      <c r="N87" s="3"/>
      <c r="O87" s="3"/>
      <c r="P87" s="3"/>
      <c r="Q87" s="3"/>
      <c r="R87" s="3"/>
      <c r="S87" s="3"/>
      <c r="T87" s="3"/>
      <c r="U87" s="3"/>
      <c r="V87" s="3"/>
      <c r="W87" s="3"/>
      <c r="X87" s="3"/>
      <c r="Y87" s="3"/>
      <c r="Z87" s="3"/>
    </row>
    <row r="88" spans="1:26" x14ac:dyDescent="0.2">
      <c r="A88" s="4" t="str">
        <f ca="1">IFERROR(__xludf.DUMMYFUNCTION("LEFT(A87, 4) &amp; TEXT(REGEXEXTRACT(A87, ""-(\d+)"") + 1, ""000"")"),"DIS-086")</f>
        <v>DIS-086</v>
      </c>
      <c r="B88" s="4" t="str">
        <f t="shared" si="0"/>
        <v>PACIFISMO (AUTO-DEFESA) | -15</v>
      </c>
      <c r="C88" s="4" t="s">
        <v>311</v>
      </c>
      <c r="D88" s="4">
        <v>-15</v>
      </c>
      <c r="E88" s="3" t="s">
        <v>42</v>
      </c>
      <c r="F88" s="3" t="s">
        <v>312</v>
      </c>
      <c r="G88" s="3" t="s">
        <v>11</v>
      </c>
      <c r="H88" s="3">
        <v>35</v>
      </c>
      <c r="I88" s="3"/>
      <c r="J88" s="3"/>
      <c r="K88" s="3"/>
      <c r="L88" s="3"/>
      <c r="M88" s="3"/>
      <c r="N88" s="3"/>
      <c r="O88" s="3"/>
      <c r="P88" s="3"/>
      <c r="Q88" s="3"/>
      <c r="R88" s="3"/>
      <c r="S88" s="3"/>
      <c r="T88" s="3"/>
      <c r="U88" s="3"/>
      <c r="V88" s="3"/>
      <c r="W88" s="3"/>
      <c r="X88" s="3"/>
      <c r="Y88" s="3"/>
      <c r="Z88" s="3"/>
    </row>
    <row r="89" spans="1:26" x14ac:dyDescent="0.2">
      <c r="A89" s="4" t="str">
        <f ca="1">IFERROR(__xludf.DUMMYFUNCTION("LEFT(A88, 4) &amp; TEXT(REGEXEXTRACT(A88, ""-(\d+)"") + 1, ""000"")"),"DIS-087")</f>
        <v>DIS-087</v>
      </c>
      <c r="B89" s="4" t="str">
        <f t="shared" si="0"/>
        <v>PACIFISMO (INCAPAZ DE MATAR) | -15</v>
      </c>
      <c r="C89" s="4" t="s">
        <v>313</v>
      </c>
      <c r="D89" s="4">
        <v>-15</v>
      </c>
      <c r="E89" s="3" t="s">
        <v>42</v>
      </c>
      <c r="F89" s="3" t="s">
        <v>314</v>
      </c>
      <c r="G89" s="3" t="s">
        <v>11</v>
      </c>
      <c r="H89" s="3">
        <v>35</v>
      </c>
      <c r="I89" s="3"/>
      <c r="J89" s="3"/>
      <c r="K89" s="3"/>
      <c r="L89" s="3"/>
      <c r="M89" s="3"/>
      <c r="N89" s="3"/>
      <c r="O89" s="3"/>
      <c r="P89" s="3"/>
      <c r="Q89" s="3"/>
      <c r="R89" s="3"/>
      <c r="S89" s="3"/>
      <c r="T89" s="3"/>
      <c r="U89" s="3"/>
      <c r="V89" s="3"/>
      <c r="W89" s="3"/>
      <c r="X89" s="3"/>
      <c r="Y89" s="3"/>
      <c r="Z89" s="3"/>
    </row>
    <row r="90" spans="1:26" x14ac:dyDescent="0.2">
      <c r="A90" s="4" t="str">
        <f ca="1">IFERROR(__xludf.DUMMYFUNCTION("LEFT(A89, 4) &amp; TEXT(REGEXEXTRACT(A89, ""-(\d+)"") + 1, ""000"")"),"DIS-088")</f>
        <v>DIS-088</v>
      </c>
      <c r="B90" s="4" t="str">
        <f t="shared" si="0"/>
        <v>PACIFISMO (NÃO-VIOLÊNCIA TOTAL) | -30</v>
      </c>
      <c r="C90" s="4" t="s">
        <v>315</v>
      </c>
      <c r="D90" s="4">
        <v>-30</v>
      </c>
      <c r="E90" s="3" t="s">
        <v>42</v>
      </c>
      <c r="F90" s="3" t="s">
        <v>316</v>
      </c>
      <c r="G90" s="3" t="s">
        <v>11</v>
      </c>
      <c r="H90" s="3">
        <v>35</v>
      </c>
      <c r="I90" s="3"/>
      <c r="J90" s="3"/>
      <c r="K90" s="3"/>
      <c r="L90" s="3"/>
      <c r="M90" s="3"/>
      <c r="N90" s="3"/>
      <c r="O90" s="3"/>
      <c r="P90" s="3"/>
      <c r="Q90" s="3"/>
      <c r="R90" s="3"/>
      <c r="S90" s="3"/>
      <c r="T90" s="3"/>
      <c r="U90" s="3"/>
      <c r="V90" s="3"/>
      <c r="W90" s="3"/>
      <c r="X90" s="3"/>
      <c r="Y90" s="3"/>
      <c r="Z90" s="3"/>
    </row>
    <row r="91" spans="1:26" x14ac:dyDescent="0.2">
      <c r="A91" s="4" t="str">
        <f ca="1">IFERROR(__xludf.DUMMYFUNCTION("LEFT(A90, 4) &amp; TEXT(REGEXEXTRACT(A90, ""-(\d+)"") + 1, ""000"")"),"DIS-089")</f>
        <v>DIS-089</v>
      </c>
      <c r="B91" s="4" t="str">
        <f t="shared" si="0"/>
        <v>PARANÓIA | -10</v>
      </c>
      <c r="C91" s="4" t="s">
        <v>317</v>
      </c>
      <c r="D91" s="4">
        <v>-10</v>
      </c>
      <c r="E91" s="3" t="s">
        <v>42</v>
      </c>
      <c r="F91" s="3" t="s">
        <v>318</v>
      </c>
      <c r="G91" s="3" t="s">
        <v>11</v>
      </c>
      <c r="H91" s="3">
        <v>35</v>
      </c>
      <c r="I91" s="3"/>
      <c r="J91" s="3"/>
      <c r="K91" s="3"/>
      <c r="L91" s="3"/>
      <c r="M91" s="3"/>
      <c r="N91" s="3"/>
      <c r="O91" s="3"/>
      <c r="P91" s="3"/>
      <c r="Q91" s="3"/>
      <c r="R91" s="3"/>
      <c r="S91" s="3"/>
      <c r="T91" s="3"/>
      <c r="U91" s="3"/>
      <c r="V91" s="3"/>
      <c r="W91" s="3"/>
      <c r="X91" s="3"/>
      <c r="Y91" s="3"/>
      <c r="Z91" s="3"/>
    </row>
    <row r="92" spans="1:26" x14ac:dyDescent="0.2">
      <c r="A92" s="4" t="str">
        <f ca="1">IFERROR(__xludf.DUMMYFUNCTION("LEFT(A91, 4) &amp; TEXT(REGEXEXTRACT(A91, ""-(\d+)"") + 1, ""000"")"),"DIS-090")</f>
        <v>DIS-090</v>
      </c>
      <c r="B92" s="4" t="str">
        <f t="shared" si="0"/>
        <v>PIROMANIA | -5</v>
      </c>
      <c r="C92" s="4" t="s">
        <v>319</v>
      </c>
      <c r="D92" s="4">
        <v>-5</v>
      </c>
      <c r="E92" s="3" t="s">
        <v>42</v>
      </c>
      <c r="F92" s="3" t="s">
        <v>320</v>
      </c>
      <c r="G92" s="3" t="s">
        <v>11</v>
      </c>
      <c r="H92" s="3">
        <v>36</v>
      </c>
      <c r="I92" s="3"/>
      <c r="J92" s="3"/>
      <c r="K92" s="3"/>
      <c r="L92" s="3"/>
      <c r="M92" s="3"/>
      <c r="N92" s="3"/>
      <c r="O92" s="3"/>
      <c r="P92" s="3"/>
      <c r="Q92" s="3"/>
      <c r="R92" s="3"/>
      <c r="S92" s="3"/>
      <c r="T92" s="3"/>
      <c r="U92" s="3"/>
      <c r="V92" s="3"/>
      <c r="W92" s="3"/>
      <c r="X92" s="3"/>
      <c r="Y92" s="3"/>
      <c r="Z92" s="3"/>
    </row>
    <row r="93" spans="1:26" x14ac:dyDescent="0.2">
      <c r="A93" s="4" t="str">
        <f ca="1">IFERROR(__xludf.DUMMYFUNCTION("LEFT(A92, 4) &amp; TEXT(REGEXEXTRACT(A92, ""-(\d+)"") + 1, ""000"")"),"DIS-091")</f>
        <v>DIS-091</v>
      </c>
      <c r="B93" s="4" t="str">
        <f t="shared" si="0"/>
        <v>SADISMO | -15</v>
      </c>
      <c r="C93" s="4" t="s">
        <v>321</v>
      </c>
      <c r="D93" s="4">
        <v>-15</v>
      </c>
      <c r="E93" s="3" t="s">
        <v>42</v>
      </c>
      <c r="F93" s="3" t="s">
        <v>322</v>
      </c>
      <c r="G93" s="3" t="s">
        <v>11</v>
      </c>
      <c r="H93" s="3">
        <v>36</v>
      </c>
      <c r="I93" s="3"/>
      <c r="J93" s="3"/>
      <c r="K93" s="3"/>
      <c r="L93" s="3"/>
      <c r="M93" s="3"/>
      <c r="N93" s="3"/>
      <c r="O93" s="3"/>
      <c r="P93" s="3"/>
      <c r="Q93" s="3"/>
      <c r="R93" s="3"/>
      <c r="S93" s="3"/>
      <c r="T93" s="3"/>
      <c r="U93" s="3"/>
      <c r="V93" s="3"/>
      <c r="W93" s="3"/>
      <c r="X93" s="3"/>
      <c r="Y93" s="3"/>
      <c r="Z93" s="3"/>
    </row>
    <row r="94" spans="1:26" x14ac:dyDescent="0.2">
      <c r="A94" s="4" t="str">
        <f ca="1">IFERROR(__xludf.DUMMYFUNCTION("LEFT(A93, 4) &amp; TEXT(REGEXEXTRACT(A93, ""-(\d+)"") + 1, ""000"")"),"DIS-092")</f>
        <v>DIS-092</v>
      </c>
      <c r="B94" s="4" t="str">
        <f t="shared" si="0"/>
        <v>AZAR | -10</v>
      </c>
      <c r="C94" s="4" t="s">
        <v>323</v>
      </c>
      <c r="D94" s="4">
        <v>-10</v>
      </c>
      <c r="E94" s="3" t="s">
        <v>42</v>
      </c>
      <c r="F94" s="3" t="s">
        <v>324</v>
      </c>
      <c r="G94" s="3" t="s">
        <v>11</v>
      </c>
      <c r="H94" s="3">
        <v>37</v>
      </c>
      <c r="I94" s="3"/>
      <c r="J94" s="3"/>
      <c r="K94" s="3"/>
      <c r="L94" s="3"/>
      <c r="M94" s="3"/>
      <c r="N94" s="3"/>
      <c r="O94" s="3"/>
      <c r="P94" s="3"/>
      <c r="Q94" s="3"/>
      <c r="R94" s="3"/>
      <c r="S94" s="3"/>
      <c r="T94" s="3"/>
      <c r="U94" s="3"/>
      <c r="V94" s="3"/>
      <c r="W94" s="3"/>
      <c r="X94" s="3"/>
      <c r="Y94" s="3"/>
      <c r="Z94" s="3"/>
    </row>
    <row r="95" spans="1:26" x14ac:dyDescent="0.2">
      <c r="A95" s="4" t="str">
        <f ca="1">IFERROR(__xludf.DUMMYFUNCTION("LEFT(A94, 4) &amp; TEXT(REGEXEXTRACT(A94, ""-(\d+)"") + 1, ""000"")"),"DIS-093")</f>
        <v>DIS-093</v>
      </c>
      <c r="B95" s="4" t="str">
        <f t="shared" si="0"/>
        <v>DUPLA PERSONALIDADE | -15</v>
      </c>
      <c r="C95" s="4" t="s">
        <v>325</v>
      </c>
      <c r="D95" s="4">
        <v>-15</v>
      </c>
      <c r="E95" s="3" t="s">
        <v>42</v>
      </c>
      <c r="F95" s="3" t="s">
        <v>326</v>
      </c>
      <c r="G95" s="3" t="s">
        <v>11</v>
      </c>
      <c r="H95" s="3">
        <v>37</v>
      </c>
      <c r="I95" s="3"/>
      <c r="J95" s="3"/>
      <c r="K95" s="3"/>
      <c r="L95" s="3"/>
      <c r="M95" s="3"/>
      <c r="N95" s="3"/>
      <c r="O95" s="3"/>
      <c r="P95" s="3"/>
      <c r="Q95" s="3"/>
      <c r="R95" s="3"/>
      <c r="S95" s="3"/>
      <c r="T95" s="3"/>
      <c r="U95" s="3"/>
      <c r="V95" s="3"/>
      <c r="W95" s="3"/>
      <c r="X95" s="3"/>
      <c r="Y95" s="3"/>
      <c r="Z95" s="3"/>
    </row>
    <row r="96" spans="1:26" x14ac:dyDescent="0.2">
      <c r="A96" s="4" t="str">
        <f ca="1">IFERROR(__xludf.DUMMYFUNCTION("LEFT(A95, 4) &amp; TEXT(REGEXEXTRACT(A95, ""-(\d+)"") + 1, ""000"")"),"DIS-094")</f>
        <v>DIS-094</v>
      </c>
      <c r="B96" s="4" t="str">
        <f t="shared" si="0"/>
        <v>DUPLA PERSONALIDADE LEVE | -10</v>
      </c>
      <c r="C96" s="4" t="s">
        <v>327</v>
      </c>
      <c r="D96" s="4">
        <v>-10</v>
      </c>
      <c r="E96" s="3" t="s">
        <v>42</v>
      </c>
      <c r="F96" s="3" t="s">
        <v>326</v>
      </c>
      <c r="G96" s="3" t="s">
        <v>11</v>
      </c>
      <c r="H96" s="3">
        <v>37</v>
      </c>
      <c r="I96" s="3"/>
      <c r="J96" s="3"/>
      <c r="K96" s="3"/>
      <c r="L96" s="3"/>
      <c r="M96" s="3"/>
      <c r="N96" s="3"/>
      <c r="O96" s="3"/>
      <c r="P96" s="3"/>
      <c r="Q96" s="3"/>
      <c r="R96" s="3"/>
      <c r="S96" s="3"/>
      <c r="T96" s="3"/>
      <c r="U96" s="3"/>
      <c r="V96" s="3"/>
      <c r="W96" s="3"/>
      <c r="X96" s="3"/>
      <c r="Y96" s="3"/>
      <c r="Z96" s="3"/>
    </row>
    <row r="97" spans="1:26" x14ac:dyDescent="0.2">
      <c r="A97" s="4" t="str">
        <f ca="1">IFERROR(__xludf.DUMMYFUNCTION("LEFT(A96, 4) &amp; TEXT(REGEXEXTRACT(A96, ""-(\d+)"") + 1, ""000"")"),"DIS-095")</f>
        <v>DIS-095</v>
      </c>
      <c r="B97" s="4" t="str">
        <f t="shared" si="0"/>
        <v>TEIMOSIA | -5</v>
      </c>
      <c r="C97" s="4" t="s">
        <v>328</v>
      </c>
      <c r="D97" s="4">
        <v>-5</v>
      </c>
      <c r="E97" s="3" t="s">
        <v>42</v>
      </c>
      <c r="F97" s="3" t="s">
        <v>329</v>
      </c>
      <c r="G97" s="3" t="s">
        <v>11</v>
      </c>
      <c r="H97" s="3">
        <v>37</v>
      </c>
      <c r="I97" s="3"/>
      <c r="J97" s="3"/>
      <c r="K97" s="3"/>
      <c r="L97" s="3"/>
      <c r="M97" s="3"/>
      <c r="N97" s="3"/>
      <c r="O97" s="3"/>
      <c r="P97" s="3"/>
      <c r="Q97" s="3"/>
      <c r="R97" s="3"/>
      <c r="S97" s="3"/>
      <c r="T97" s="3"/>
      <c r="U97" s="3"/>
      <c r="V97" s="3"/>
      <c r="W97" s="3"/>
      <c r="X97" s="3"/>
      <c r="Y97" s="3"/>
      <c r="Z97" s="3"/>
    </row>
    <row r="98" spans="1:26" x14ac:dyDescent="0.2">
      <c r="A98" s="4" t="str">
        <f ca="1">IFERROR(__xludf.DUMMYFUNCTION("LEFT(A97, 4) &amp; TEXT(REGEXEXTRACT(A97, ""-(\d+)"") + 1, ""000"")"),"DIS-096")</f>
        <v>DIS-096</v>
      </c>
      <c r="B98" s="4" t="str">
        <f t="shared" si="0"/>
        <v>TIMIDEZ GRAVE | -10</v>
      </c>
      <c r="C98" s="4" t="s">
        <v>330</v>
      </c>
      <c r="D98" s="4">
        <v>-10</v>
      </c>
      <c r="E98" s="3" t="s">
        <v>42</v>
      </c>
      <c r="F98" s="3" t="s">
        <v>331</v>
      </c>
      <c r="G98" s="3" t="s">
        <v>11</v>
      </c>
      <c r="H98" s="3">
        <v>37</v>
      </c>
      <c r="I98" s="3"/>
      <c r="J98" s="3"/>
      <c r="K98" s="3"/>
      <c r="L98" s="3"/>
      <c r="M98" s="3"/>
      <c r="N98" s="3"/>
      <c r="O98" s="3"/>
      <c r="P98" s="3"/>
      <c r="Q98" s="3"/>
      <c r="R98" s="3"/>
      <c r="S98" s="3"/>
      <c r="T98" s="3"/>
      <c r="U98" s="3"/>
      <c r="V98" s="3"/>
      <c r="W98" s="3"/>
      <c r="X98" s="3"/>
      <c r="Y98" s="3"/>
      <c r="Z98" s="3"/>
    </row>
    <row r="99" spans="1:26" x14ac:dyDescent="0.2">
      <c r="A99" s="4" t="str">
        <f ca="1">IFERROR(__xludf.DUMMYFUNCTION("LEFT(A98, 4) &amp; TEXT(REGEXEXTRACT(A98, ""-(\d+)"") + 1, ""000"")"),"DIS-097")</f>
        <v>DIS-097</v>
      </c>
      <c r="B99" s="4" t="str">
        <f t="shared" si="0"/>
        <v>TIMIDEZ PARALIZANTE | -15</v>
      </c>
      <c r="C99" s="4" t="s">
        <v>332</v>
      </c>
      <c r="D99" s="4">
        <v>-15</v>
      </c>
      <c r="E99" s="3" t="s">
        <v>42</v>
      </c>
      <c r="F99" s="3" t="s">
        <v>333</v>
      </c>
      <c r="G99" s="3" t="s">
        <v>11</v>
      </c>
      <c r="H99" s="3">
        <v>37</v>
      </c>
      <c r="I99" s="3"/>
      <c r="J99" s="3"/>
      <c r="K99" s="3"/>
      <c r="L99" s="3"/>
      <c r="M99" s="3"/>
      <c r="N99" s="3"/>
      <c r="O99" s="3"/>
      <c r="P99" s="3"/>
      <c r="Q99" s="3"/>
      <c r="R99" s="3"/>
      <c r="S99" s="3"/>
      <c r="T99" s="3"/>
      <c r="U99" s="3"/>
      <c r="V99" s="3"/>
      <c r="W99" s="3"/>
      <c r="X99" s="3"/>
      <c r="Y99" s="3"/>
      <c r="Z99" s="3"/>
    </row>
    <row r="100" spans="1:26" x14ac:dyDescent="0.2">
      <c r="A100" s="4" t="str">
        <f ca="1">IFERROR(__xludf.DUMMYFUNCTION("LEFT(A99, 4) &amp; TEXT(REGEXEXTRACT(A99, ""-(\d+)"") + 1, ""000"")"),"DIS-098")</f>
        <v>DIS-098</v>
      </c>
      <c r="B100" s="4" t="str">
        <f t="shared" si="0"/>
        <v>TIMIDEZ SUAVE | -5</v>
      </c>
      <c r="C100" s="4" t="s">
        <v>334</v>
      </c>
      <c r="D100" s="4">
        <v>-5</v>
      </c>
      <c r="E100" s="3" t="s">
        <v>42</v>
      </c>
      <c r="F100" s="3" t="s">
        <v>335</v>
      </c>
      <c r="G100" s="3" t="s">
        <v>11</v>
      </c>
      <c r="H100" s="3">
        <v>37</v>
      </c>
      <c r="I100" s="3"/>
      <c r="J100" s="3"/>
      <c r="K100" s="3"/>
      <c r="L100" s="3"/>
      <c r="M100" s="3"/>
      <c r="N100" s="3"/>
      <c r="O100" s="3"/>
      <c r="P100" s="3"/>
      <c r="Q100" s="3"/>
      <c r="R100" s="3"/>
      <c r="S100" s="3"/>
      <c r="T100" s="3"/>
      <c r="U100" s="3"/>
      <c r="V100" s="3"/>
      <c r="W100" s="3"/>
      <c r="X100" s="3"/>
      <c r="Y100" s="3"/>
      <c r="Z100" s="3"/>
    </row>
    <row r="101" spans="1:26" x14ac:dyDescent="0.2">
      <c r="A101" s="4" t="str">
        <f ca="1">IFERROR(__xludf.DUMMYFUNCTION("LEFT(A100, 4) &amp; TEXT(REGEXEXTRACT(A100, ""-(\d+)"") + 1, ""000"")"),"DIS-099")</f>
        <v>DIS-099</v>
      </c>
      <c r="B101" s="4" t="str">
        <f t="shared" si="0"/>
        <v>VERACIDADE | -5</v>
      </c>
      <c r="C101" s="4" t="s">
        <v>336</v>
      </c>
      <c r="D101" s="4">
        <v>-5</v>
      </c>
      <c r="E101" s="3" t="s">
        <v>42</v>
      </c>
      <c r="F101" s="3" t="s">
        <v>337</v>
      </c>
      <c r="G101" s="3" t="s">
        <v>11</v>
      </c>
      <c r="H101" s="3">
        <v>37</v>
      </c>
      <c r="I101" s="3"/>
      <c r="J101" s="3"/>
      <c r="K101" s="3"/>
      <c r="L101" s="3"/>
      <c r="M101" s="3"/>
      <c r="N101" s="3"/>
      <c r="O101" s="3"/>
      <c r="P101" s="3"/>
      <c r="Q101" s="3"/>
      <c r="R101" s="3"/>
      <c r="S101" s="3"/>
      <c r="T101" s="3"/>
      <c r="U101" s="3"/>
      <c r="V101" s="3"/>
      <c r="W101" s="3"/>
      <c r="X101" s="3"/>
      <c r="Y101" s="3"/>
      <c r="Z101" s="3"/>
    </row>
    <row r="102" spans="1:26" x14ac:dyDescent="0.2">
      <c r="A102" s="4" t="str">
        <f ca="1">IFERROR(__xludf.DUMMYFUNCTION("LEFT(A101, 4) &amp; TEXT(REGEXEXTRACT(A101, ""-(\d+)"") + 1, ""000"")"),"DIS-100")</f>
        <v>DIS-100</v>
      </c>
      <c r="B102" s="4" t="str">
        <f t="shared" si="0"/>
        <v>VONTADE -1 | -8</v>
      </c>
      <c r="C102" s="4" t="s">
        <v>338</v>
      </c>
      <c r="D102" s="4">
        <v>-8</v>
      </c>
      <c r="E102" s="3" t="s">
        <v>42</v>
      </c>
      <c r="F102" s="3" t="s">
        <v>339</v>
      </c>
      <c r="G102" s="3" t="s">
        <v>11</v>
      </c>
      <c r="H102" s="3">
        <v>37</v>
      </c>
      <c r="I102" s="3"/>
      <c r="J102" s="3"/>
      <c r="K102" s="3"/>
      <c r="L102" s="3"/>
      <c r="M102" s="3"/>
      <c r="N102" s="3"/>
      <c r="O102" s="3"/>
      <c r="P102" s="3"/>
      <c r="Q102" s="3"/>
      <c r="R102" s="3"/>
      <c r="S102" s="3"/>
      <c r="T102" s="3"/>
      <c r="U102" s="3"/>
      <c r="V102" s="3"/>
      <c r="W102" s="3"/>
      <c r="X102" s="3"/>
      <c r="Y102" s="3"/>
      <c r="Z102" s="3"/>
    </row>
    <row r="103" spans="1:26" x14ac:dyDescent="0.2">
      <c r="A103" s="4" t="str">
        <f ca="1">IFERROR(__xludf.DUMMYFUNCTION("LEFT(A102, 4) &amp; TEXT(REGEXEXTRACT(A102, ""-(\d+)"") + 1, ""000"")"),"DIS-101")</f>
        <v>DIS-101</v>
      </c>
      <c r="B103" s="4" t="str">
        <f t="shared" si="0"/>
        <v>VONTADE -2 | -16</v>
      </c>
      <c r="C103" s="4" t="s">
        <v>340</v>
      </c>
      <c r="D103" s="4">
        <v>-16</v>
      </c>
      <c r="E103" s="3" t="s">
        <v>42</v>
      </c>
      <c r="F103" s="3" t="s">
        <v>339</v>
      </c>
      <c r="G103" s="3" t="s">
        <v>11</v>
      </c>
      <c r="H103" s="3">
        <v>37</v>
      </c>
      <c r="I103" s="3"/>
      <c r="J103" s="3"/>
      <c r="K103" s="3"/>
      <c r="L103" s="3"/>
      <c r="M103" s="3"/>
      <c r="N103" s="3"/>
      <c r="O103" s="3"/>
      <c r="P103" s="3"/>
      <c r="Q103" s="3"/>
      <c r="R103" s="3"/>
      <c r="S103" s="3"/>
      <c r="T103" s="3"/>
      <c r="U103" s="3"/>
      <c r="V103" s="3"/>
      <c r="W103" s="3"/>
      <c r="X103" s="3"/>
      <c r="Y103" s="3"/>
      <c r="Z103" s="3"/>
    </row>
    <row r="104" spans="1:26" x14ac:dyDescent="0.2">
      <c r="A104" s="4" t="str">
        <f ca="1">IFERROR(__xludf.DUMMYFUNCTION("LEFT(A103, 4) &amp; TEXT(REGEXEXTRACT(A103, ""-(\d+)"") + 1, ""000"")"),"DIS-102")</f>
        <v>DIS-102</v>
      </c>
      <c r="B104" s="4" t="str">
        <f t="shared" si="0"/>
        <v>VONTADE -3 | -24</v>
      </c>
      <c r="C104" s="4" t="s">
        <v>341</v>
      </c>
      <c r="D104" s="4">
        <v>-24</v>
      </c>
      <c r="E104" s="3" t="s">
        <v>42</v>
      </c>
      <c r="F104" s="3" t="s">
        <v>339</v>
      </c>
      <c r="G104" s="3" t="s">
        <v>11</v>
      </c>
      <c r="H104" s="3">
        <v>37</v>
      </c>
      <c r="I104" s="3"/>
      <c r="J104" s="3"/>
      <c r="K104" s="3"/>
      <c r="L104" s="3"/>
      <c r="M104" s="3"/>
      <c r="N104" s="3"/>
      <c r="O104" s="3"/>
      <c r="P104" s="3"/>
      <c r="Q104" s="3"/>
      <c r="R104" s="3"/>
      <c r="S104" s="3"/>
      <c r="T104" s="3"/>
      <c r="U104" s="3"/>
      <c r="V104" s="3"/>
      <c r="W104" s="3"/>
      <c r="X104" s="3"/>
      <c r="Y104" s="3"/>
      <c r="Z104" s="3"/>
    </row>
    <row r="105" spans="1:26" x14ac:dyDescent="0.2">
      <c r="A105" s="4" t="str">
        <f ca="1">IFERROR(__xludf.DUMMYFUNCTION("LEFT(A104, 4) &amp; TEXT(REGEXEXTRACT(A104, ""-(\d+)"") + 1, ""000"")"),"DIS-103")</f>
        <v>DIS-103</v>
      </c>
      <c r="B105" s="4" t="str">
        <f t="shared" si="0"/>
        <v>VONTADE -4 | -32</v>
      </c>
      <c r="C105" s="4" t="s">
        <v>342</v>
      </c>
      <c r="D105" s="4">
        <v>-32</v>
      </c>
      <c r="E105" s="3" t="s">
        <v>42</v>
      </c>
      <c r="F105" s="3" t="s">
        <v>339</v>
      </c>
      <c r="G105" s="3" t="s">
        <v>11</v>
      </c>
      <c r="H105" s="3">
        <v>37</v>
      </c>
      <c r="I105" s="3"/>
      <c r="J105" s="3"/>
      <c r="K105" s="3"/>
      <c r="L105" s="3"/>
      <c r="M105" s="3"/>
      <c r="N105" s="3"/>
      <c r="O105" s="3"/>
      <c r="P105" s="3"/>
      <c r="Q105" s="3"/>
      <c r="R105" s="3"/>
      <c r="S105" s="3"/>
      <c r="T105" s="3"/>
      <c r="U105" s="3"/>
      <c r="V105" s="3"/>
      <c r="W105" s="3"/>
      <c r="X105" s="3"/>
      <c r="Y105" s="3"/>
      <c r="Z105" s="3"/>
    </row>
    <row r="106" spans="1:26" x14ac:dyDescent="0.2">
      <c r="A106" s="4" t="str">
        <f ca="1">IFERROR(__xludf.DUMMYFUNCTION("LEFT(A105, 4) &amp; TEXT(REGEXEXTRACT(A105, ""-(\d+)"") + 1, ""000"")"),"DIS-104")</f>
        <v>DIS-104</v>
      </c>
      <c r="B106" s="4" t="str">
        <f t="shared" si="0"/>
        <v>VONTADE -5 | -40</v>
      </c>
      <c r="C106" s="4" t="s">
        <v>343</v>
      </c>
      <c r="D106" s="4">
        <v>-40</v>
      </c>
      <c r="E106" s="3" t="s">
        <v>42</v>
      </c>
      <c r="F106" s="3" t="s">
        <v>339</v>
      </c>
      <c r="G106" s="3" t="s">
        <v>11</v>
      </c>
      <c r="H106" s="3">
        <v>37</v>
      </c>
      <c r="I106" s="3"/>
      <c r="J106" s="3"/>
      <c r="K106" s="3"/>
      <c r="L106" s="3"/>
      <c r="M106" s="3"/>
      <c r="N106" s="3"/>
      <c r="O106" s="3"/>
      <c r="P106" s="3"/>
      <c r="Q106" s="3"/>
      <c r="R106" s="3"/>
      <c r="S106" s="3"/>
      <c r="T106" s="3"/>
      <c r="U106" s="3"/>
      <c r="V106" s="3"/>
      <c r="W106" s="3"/>
      <c r="X106" s="3"/>
      <c r="Y106" s="3"/>
      <c r="Z106" s="3"/>
    </row>
    <row r="107" spans="1:26" x14ac:dyDescent="0.2">
      <c r="A107" s="4" t="str">
        <f ca="1">IFERROR(__xludf.DUMMYFUNCTION("LEFT(A106, 4) &amp; TEXT(REGEXEXTRACT(A106, ""-(\d+)"") + 1, ""000"")"),"DIS-105")</f>
        <v>DIS-105</v>
      </c>
      <c r="B107" s="4" t="str">
        <f t="shared" si="0"/>
        <v>VOTO | -10</v>
      </c>
      <c r="C107" s="4" t="s">
        <v>344</v>
      </c>
      <c r="D107" s="4">
        <v>-10</v>
      </c>
      <c r="E107" s="3" t="s">
        <v>42</v>
      </c>
      <c r="F107" s="3" t="s">
        <v>345</v>
      </c>
      <c r="G107" s="3" t="s">
        <v>11</v>
      </c>
      <c r="H107" s="3">
        <v>37</v>
      </c>
      <c r="I107" s="3"/>
      <c r="J107" s="3"/>
      <c r="K107" s="3"/>
      <c r="L107" s="3"/>
      <c r="M107" s="3"/>
      <c r="N107" s="3"/>
      <c r="O107" s="3"/>
      <c r="P107" s="3"/>
      <c r="Q107" s="3"/>
      <c r="R107" s="3"/>
      <c r="S107" s="3"/>
      <c r="T107" s="3"/>
      <c r="U107" s="3"/>
      <c r="V107" s="3"/>
      <c r="W107" s="3"/>
      <c r="X107" s="3"/>
      <c r="Y107" s="3"/>
      <c r="Z107" s="3"/>
    </row>
    <row r="108" spans="1:26" x14ac:dyDescent="0.2">
      <c r="A108" s="4" t="str">
        <f ca="1">IFERROR(__xludf.DUMMYFUNCTION("LEFT(A107, 4) &amp; TEXT(REGEXEXTRACT(A107, ""-(\d+)"") + 1, ""000"")"),"DIS-106")</f>
        <v>DIS-106</v>
      </c>
      <c r="B108" s="4" t="str">
        <f t="shared" si="0"/>
        <v>VOTO GRAVE | -15</v>
      </c>
      <c r="C108" s="4" t="s">
        <v>346</v>
      </c>
      <c r="D108" s="4">
        <v>-15</v>
      </c>
      <c r="E108" s="3" t="s">
        <v>42</v>
      </c>
      <c r="F108" s="3" t="s">
        <v>347</v>
      </c>
      <c r="G108" s="3" t="s">
        <v>11</v>
      </c>
      <c r="H108" s="3">
        <v>37</v>
      </c>
      <c r="I108" s="3"/>
      <c r="J108" s="3"/>
      <c r="K108" s="3"/>
      <c r="L108" s="3"/>
      <c r="M108" s="3"/>
      <c r="N108" s="3"/>
      <c r="O108" s="3"/>
      <c r="P108" s="3"/>
      <c r="Q108" s="3"/>
      <c r="R108" s="3"/>
      <c r="S108" s="3"/>
      <c r="T108" s="3"/>
      <c r="U108" s="3"/>
      <c r="V108" s="3"/>
      <c r="W108" s="3"/>
      <c r="X108" s="3"/>
      <c r="Y108" s="3"/>
      <c r="Z108" s="3"/>
    </row>
    <row r="109" spans="1:26" x14ac:dyDescent="0.2">
      <c r="A109" s="4" t="str">
        <f ca="1">IFERROR(__xludf.DUMMYFUNCTION("LEFT(A108, 4) &amp; TEXT(REGEXEXTRACT(A108, ""-(\d+)"") + 1, ""000"")"),"DIS-107")</f>
        <v>DIS-107</v>
      </c>
      <c r="B109" s="4" t="str">
        <f t="shared" si="0"/>
        <v>VOTO LEVE | -5</v>
      </c>
      <c r="C109" s="4" t="s">
        <v>348</v>
      </c>
      <c r="D109" s="4">
        <v>-5</v>
      </c>
      <c r="E109" s="3" t="s">
        <v>42</v>
      </c>
      <c r="F109" s="3" t="s">
        <v>349</v>
      </c>
      <c r="G109" s="3" t="s">
        <v>11</v>
      </c>
      <c r="H109" s="3">
        <v>37</v>
      </c>
      <c r="I109" s="3"/>
      <c r="J109" s="3"/>
      <c r="K109" s="3"/>
      <c r="L109" s="3"/>
      <c r="M109" s="3"/>
      <c r="N109" s="3"/>
      <c r="O109" s="3"/>
      <c r="P109" s="3"/>
      <c r="Q109" s="3"/>
      <c r="R109" s="3"/>
      <c r="S109" s="3"/>
      <c r="T109" s="3"/>
      <c r="U109" s="3"/>
      <c r="V109" s="3"/>
      <c r="W109" s="3"/>
      <c r="X109" s="3"/>
      <c r="Y109" s="3"/>
      <c r="Z109" s="3"/>
    </row>
    <row r="110" spans="1:26" x14ac:dyDescent="0.2">
      <c r="A110" s="4" t="str">
        <f ca="1">IFERROR(__xludf.DUMMYFUNCTION("LEFT(A109, 4) &amp; TEXT(REGEXEXTRACT(A109, ""-(\d+)"") + 1, ""000"")"),"DIS-108")</f>
        <v>DIS-108</v>
      </c>
      <c r="B110" s="4" t="str">
        <f t="shared" si="0"/>
        <v>VOTO TRIVIAL | -1</v>
      </c>
      <c r="C110" s="4" t="s">
        <v>350</v>
      </c>
      <c r="D110" s="4">
        <v>-1</v>
      </c>
      <c r="E110" s="3" t="s">
        <v>42</v>
      </c>
      <c r="F110" s="3" t="s">
        <v>351</v>
      </c>
      <c r="G110" s="3" t="s">
        <v>11</v>
      </c>
      <c r="H110" s="3">
        <v>37</v>
      </c>
      <c r="I110" s="3"/>
      <c r="J110" s="3"/>
      <c r="K110" s="3"/>
      <c r="L110" s="3"/>
      <c r="M110" s="3"/>
      <c r="N110" s="3"/>
      <c r="O110" s="3"/>
      <c r="P110" s="3"/>
      <c r="Q110" s="3"/>
      <c r="R110" s="3"/>
      <c r="S110" s="3"/>
      <c r="T110" s="3"/>
      <c r="U110" s="3"/>
      <c r="V110" s="3"/>
      <c r="W110" s="3"/>
      <c r="X110" s="3"/>
      <c r="Y110" s="3"/>
      <c r="Z110" s="3"/>
    </row>
    <row r="111" spans="1:26" x14ac:dyDescent="0.2">
      <c r="A111" s="4" t="str">
        <f ca="1">IFERROR(__xludf.DUMMYFUNCTION("LEFT(A110, 4) &amp; TEXT(REGEXEXTRACT(A110, ""-(\d+)"") + 1, ""000"")"),"DIS-109")</f>
        <v>DIS-109</v>
      </c>
      <c r="B111" s="4" t="str">
        <f t="shared" si="0"/>
        <v>SENSO DO DEVER | -10</v>
      </c>
      <c r="C111" s="4" t="s">
        <v>352</v>
      </c>
      <c r="D111" s="4">
        <v>-10</v>
      </c>
      <c r="E111" s="3" t="s">
        <v>42</v>
      </c>
      <c r="F111" s="3" t="s">
        <v>353</v>
      </c>
      <c r="G111" s="3" t="s">
        <v>11</v>
      </c>
      <c r="H111" s="3">
        <v>39</v>
      </c>
      <c r="I111" s="3"/>
      <c r="J111" s="3"/>
      <c r="K111" s="3"/>
      <c r="L111" s="3"/>
      <c r="M111" s="3"/>
      <c r="N111" s="3"/>
      <c r="O111" s="3"/>
      <c r="P111" s="3"/>
      <c r="Q111" s="3"/>
      <c r="R111" s="3"/>
      <c r="S111" s="3"/>
      <c r="T111" s="3"/>
      <c r="U111" s="3"/>
      <c r="V111" s="3"/>
      <c r="W111" s="3"/>
      <c r="X111" s="3"/>
      <c r="Y111" s="3"/>
      <c r="Z111" s="3"/>
    </row>
    <row r="112" spans="1:26" x14ac:dyDescent="0.2">
      <c r="A112" s="4" t="str">
        <f ca="1">IFERROR(__xludf.DUMMYFUNCTION("LEFT(A111, 4) &amp; TEXT(REGEXEXTRACT(A111, ""-(\d+)"") + 1, ""000"")"),"DIS-110")</f>
        <v>DIS-110</v>
      </c>
      <c r="B112" s="4" t="str">
        <f t="shared" si="0"/>
        <v>SENSO DO DEVER GRAVE | -15</v>
      </c>
      <c r="C112" s="4" t="s">
        <v>354</v>
      </c>
      <c r="D112" s="4">
        <v>-15</v>
      </c>
      <c r="E112" s="3" t="s">
        <v>42</v>
      </c>
      <c r="F112" s="3" t="s">
        <v>353</v>
      </c>
      <c r="G112" s="3" t="s">
        <v>11</v>
      </c>
      <c r="H112" s="3">
        <v>39</v>
      </c>
      <c r="I112" s="3"/>
      <c r="J112" s="3"/>
      <c r="K112" s="3"/>
      <c r="L112" s="3"/>
      <c r="M112" s="3"/>
      <c r="N112" s="3"/>
      <c r="O112" s="3"/>
      <c r="P112" s="3"/>
      <c r="Q112" s="3"/>
      <c r="R112" s="3"/>
      <c r="S112" s="3"/>
      <c r="T112" s="3"/>
      <c r="U112" s="3"/>
      <c r="V112" s="3"/>
      <c r="W112" s="3"/>
      <c r="X112" s="3"/>
      <c r="Y112" s="3"/>
      <c r="Z112" s="3"/>
    </row>
    <row r="113" spans="1:26" x14ac:dyDescent="0.2">
      <c r="A113" s="4" t="str">
        <f ca="1">IFERROR(__xludf.DUMMYFUNCTION("LEFT(A112, 4) &amp; TEXT(REGEXEXTRACT(A112, ""-(\d+)"") + 1, ""000"")"),"DIS-111")</f>
        <v>DIS-111</v>
      </c>
      <c r="B113" s="4" t="str">
        <f t="shared" si="0"/>
        <v>SENSO DO DEVER LEVE | -5</v>
      </c>
      <c r="C113" s="4" t="s">
        <v>355</v>
      </c>
      <c r="D113" s="4">
        <v>-5</v>
      </c>
      <c r="E113" s="3" t="s">
        <v>42</v>
      </c>
      <c r="F113" s="3" t="s">
        <v>353</v>
      </c>
      <c r="G113" s="3" t="s">
        <v>11</v>
      </c>
      <c r="H113" s="3">
        <v>39</v>
      </c>
      <c r="I113" s="3"/>
      <c r="J113" s="3"/>
      <c r="K113" s="3"/>
      <c r="L113" s="3"/>
      <c r="M113" s="3"/>
      <c r="N113" s="3"/>
      <c r="O113" s="3"/>
      <c r="P113" s="3"/>
      <c r="Q113" s="3"/>
      <c r="R113" s="3"/>
      <c r="S113" s="3"/>
      <c r="T113" s="3"/>
      <c r="U113" s="3"/>
      <c r="V113" s="3"/>
      <c r="W113" s="3"/>
      <c r="X113" s="3"/>
      <c r="Y113" s="3"/>
      <c r="Z113" s="3"/>
    </row>
    <row r="114" spans="1:26" x14ac:dyDescent="0.2">
      <c r="A114" s="4" t="str">
        <f ca="1">IFERROR(__xludf.DUMMYFUNCTION("LEFT(A113, 4) &amp; TEXT(REGEXEXTRACT(A113, ""-(\d+)"") + 1, ""000"")"),"DIS-112")</f>
        <v>DIS-112</v>
      </c>
      <c r="B114" s="4" t="str">
        <f t="shared" si="0"/>
        <v>SENSO DO DEVER MUITO GRAVE | -20</v>
      </c>
      <c r="C114" s="4" t="s">
        <v>356</v>
      </c>
      <c r="D114" s="4">
        <v>-20</v>
      </c>
      <c r="E114" s="3" t="s">
        <v>42</v>
      </c>
      <c r="F114" s="3" t="s">
        <v>353</v>
      </c>
      <c r="G114" s="3" t="s">
        <v>11</v>
      </c>
      <c r="H114" s="3">
        <v>39</v>
      </c>
      <c r="I114" s="3"/>
      <c r="J114" s="3"/>
      <c r="K114" s="3"/>
      <c r="L114" s="3"/>
      <c r="M114" s="3"/>
      <c r="N114" s="3"/>
      <c r="O114" s="3"/>
      <c r="P114" s="3"/>
      <c r="Q114" s="3"/>
      <c r="R114" s="3"/>
      <c r="S114" s="3"/>
      <c r="T114" s="3"/>
      <c r="U114" s="3"/>
      <c r="V114" s="3"/>
      <c r="W114" s="3"/>
      <c r="X114" s="3"/>
      <c r="Y114" s="3"/>
      <c r="Z114" s="3"/>
    </row>
    <row r="115" spans="1:26"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advantages</vt:lpstr>
      <vt:lpstr>disadvantages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cp:lastModifiedBy>
  <dcterms:modified xsi:type="dcterms:W3CDTF">2026-02-20T19:51:47Z</dcterms:modified>
</cp:coreProperties>
</file>