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RPG\Archivum\Streamlit\app\data\"/>
    </mc:Choice>
  </mc:AlternateContent>
  <xr:revisionPtr revIDLastSave="0" documentId="13_ncr:1_{E973010D-3C08-491D-90DF-48E8FF280395}" xr6:coauthVersionLast="47" xr6:coauthVersionMax="47" xr10:uidLastSave="{00000000-0000-0000-0000-000000000000}"/>
  <bookViews>
    <workbookView xWindow="28680" yWindow="-120" windowWidth="29040" windowHeight="16440" activeTab="3" xr2:uid="{00000000-000D-0000-FFFF-FFFF00000000}"/>
  </bookViews>
  <sheets>
    <sheet name="skills" sheetId="2" r:id="rId1"/>
    <sheet name="overview" sheetId="1" r:id="rId2"/>
    <sheet name="physical" sheetId="3" r:id="rId3"/>
    <sheet name="ment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3" i="2"/>
  <c r="G170" i="2"/>
  <c r="B170" i="2"/>
  <c r="G171" i="2"/>
  <c r="B171" i="2"/>
  <c r="G113" i="2"/>
  <c r="B113" i="2"/>
  <c r="G101" i="2"/>
  <c r="B101" i="2"/>
  <c r="B256" i="2"/>
  <c r="B255" i="2"/>
  <c r="B254" i="2"/>
  <c r="B253" i="2"/>
  <c r="B252" i="2"/>
  <c r="B251" i="2"/>
  <c r="B250" i="2"/>
  <c r="B249" i="2"/>
  <c r="B248" i="2"/>
  <c r="B247" i="2"/>
  <c r="B246" i="2"/>
  <c r="B245" i="2"/>
  <c r="B244" i="2"/>
  <c r="G243" i="2"/>
  <c r="B243" i="2"/>
  <c r="G242" i="2"/>
  <c r="B242" i="2"/>
  <c r="G241" i="2"/>
  <c r="B241" i="2"/>
  <c r="G240" i="2"/>
  <c r="B240" i="2"/>
  <c r="G239" i="2"/>
  <c r="B239" i="2"/>
  <c r="G238" i="2"/>
  <c r="B238" i="2"/>
  <c r="G237" i="2"/>
  <c r="B237" i="2"/>
  <c r="G236" i="2"/>
  <c r="B236" i="2"/>
  <c r="G235" i="2"/>
  <c r="B235" i="2"/>
  <c r="G234" i="2"/>
  <c r="B234" i="2"/>
  <c r="G233" i="2"/>
  <c r="B233" i="2"/>
  <c r="G232" i="2"/>
  <c r="B232" i="2"/>
  <c r="G231" i="2"/>
  <c r="B231" i="2"/>
  <c r="G230" i="2"/>
  <c r="B230" i="2"/>
  <c r="G229" i="2"/>
  <c r="B229" i="2"/>
  <c r="G228" i="2"/>
  <c r="B228" i="2"/>
  <c r="G227" i="2"/>
  <c r="B227" i="2"/>
  <c r="G226" i="2"/>
  <c r="B226" i="2"/>
  <c r="G225" i="2"/>
  <c r="B225" i="2"/>
  <c r="G224" i="2"/>
  <c r="B224" i="2"/>
  <c r="G223" i="2"/>
  <c r="B223" i="2"/>
  <c r="G222" i="2"/>
  <c r="B222" i="2"/>
  <c r="G221" i="2"/>
  <c r="B221" i="2"/>
  <c r="G220" i="2"/>
  <c r="B220" i="2"/>
  <c r="G219" i="2"/>
  <c r="B219" i="2"/>
  <c r="G218" i="2"/>
  <c r="B218" i="2"/>
  <c r="G217" i="2"/>
  <c r="B217" i="2"/>
  <c r="G216" i="2"/>
  <c r="B216" i="2"/>
  <c r="G215" i="2"/>
  <c r="B215" i="2"/>
  <c r="G214" i="2"/>
  <c r="B214" i="2"/>
  <c r="G213" i="2"/>
  <c r="B213" i="2"/>
  <c r="G212" i="2"/>
  <c r="B212" i="2"/>
  <c r="G211" i="2"/>
  <c r="B211" i="2"/>
  <c r="B210" i="2"/>
  <c r="G209" i="2"/>
  <c r="B209" i="2"/>
  <c r="G208" i="2"/>
  <c r="B208" i="2"/>
  <c r="G207" i="2"/>
  <c r="B207" i="2"/>
  <c r="G206" i="2"/>
  <c r="B206" i="2"/>
  <c r="G205" i="2"/>
  <c r="B205" i="2"/>
  <c r="G204" i="2"/>
  <c r="B204" i="2"/>
  <c r="G203" i="2"/>
  <c r="B203" i="2"/>
  <c r="B202" i="2"/>
  <c r="G201" i="2"/>
  <c r="B201" i="2"/>
  <c r="G200" i="2"/>
  <c r="B200" i="2"/>
  <c r="G199" i="2"/>
  <c r="B199" i="2"/>
  <c r="G198" i="2"/>
  <c r="B198" i="2"/>
  <c r="G197" i="2"/>
  <c r="B197" i="2"/>
  <c r="G196" i="2"/>
  <c r="B196" i="2"/>
  <c r="G195" i="2"/>
  <c r="B195" i="2"/>
  <c r="G194" i="2"/>
  <c r="B194" i="2"/>
  <c r="G193" i="2"/>
  <c r="B193" i="2"/>
  <c r="G192" i="2"/>
  <c r="B192" i="2"/>
  <c r="G191" i="2"/>
  <c r="B191" i="2"/>
  <c r="G190" i="2"/>
  <c r="B190" i="2"/>
  <c r="G189" i="2"/>
  <c r="B189" i="2"/>
  <c r="G188" i="2"/>
  <c r="B188" i="2"/>
  <c r="G187" i="2"/>
  <c r="B187" i="2"/>
  <c r="G186" i="2"/>
  <c r="B186" i="2"/>
  <c r="G185" i="2"/>
  <c r="B185" i="2"/>
  <c r="G184" i="2"/>
  <c r="B184" i="2"/>
  <c r="G183" i="2"/>
  <c r="B183" i="2"/>
  <c r="G182" i="2"/>
  <c r="B182" i="2"/>
  <c r="G181" i="2"/>
  <c r="B181" i="2"/>
  <c r="G180" i="2"/>
  <c r="B180" i="2"/>
  <c r="G179" i="2"/>
  <c r="B179" i="2"/>
  <c r="G178" i="2"/>
  <c r="B178" i="2"/>
  <c r="G177" i="2"/>
  <c r="B177" i="2"/>
  <c r="G176" i="2"/>
  <c r="B176" i="2"/>
  <c r="G175" i="2"/>
  <c r="B175" i="2"/>
  <c r="G174" i="2"/>
  <c r="B174" i="2"/>
  <c r="G173" i="2"/>
  <c r="B173" i="2"/>
  <c r="G172" i="2"/>
  <c r="B172" i="2"/>
  <c r="G169" i="2"/>
  <c r="B169" i="2"/>
  <c r="G168" i="2"/>
  <c r="B168" i="2"/>
  <c r="G167" i="2"/>
  <c r="B167" i="2"/>
  <c r="G166" i="2"/>
  <c r="B166" i="2"/>
  <c r="G165" i="2"/>
  <c r="B165" i="2"/>
  <c r="G164" i="2"/>
  <c r="B164" i="2"/>
  <c r="G163" i="2"/>
  <c r="B163" i="2"/>
  <c r="G162" i="2"/>
  <c r="B162" i="2"/>
  <c r="G161" i="2"/>
  <c r="B161" i="2"/>
  <c r="G160" i="2"/>
  <c r="B160" i="2"/>
  <c r="G159" i="2"/>
  <c r="B159" i="2"/>
  <c r="G158" i="2"/>
  <c r="B158" i="2"/>
  <c r="G157" i="2"/>
  <c r="B157" i="2"/>
  <c r="G156" i="2"/>
  <c r="B156" i="2"/>
  <c r="G155" i="2"/>
  <c r="B155" i="2"/>
  <c r="G154" i="2"/>
  <c r="B154" i="2"/>
  <c r="G153" i="2"/>
  <c r="B153" i="2"/>
  <c r="G152" i="2"/>
  <c r="B152" i="2"/>
  <c r="G151" i="2"/>
  <c r="B151" i="2"/>
  <c r="G150" i="2"/>
  <c r="B150" i="2"/>
  <c r="G149" i="2"/>
  <c r="B149" i="2"/>
  <c r="G148" i="2"/>
  <c r="B148" i="2"/>
  <c r="G147" i="2"/>
  <c r="B147" i="2"/>
  <c r="G146" i="2"/>
  <c r="B146" i="2"/>
  <c r="G145" i="2"/>
  <c r="B145" i="2"/>
  <c r="G144" i="2"/>
  <c r="B144" i="2"/>
  <c r="G143" i="2"/>
  <c r="B143" i="2"/>
  <c r="G142" i="2"/>
  <c r="B142" i="2"/>
  <c r="G141" i="2"/>
  <c r="B141" i="2"/>
  <c r="G140" i="2"/>
  <c r="B140" i="2"/>
  <c r="G139" i="2"/>
  <c r="B139" i="2"/>
  <c r="G138" i="2"/>
  <c r="B138" i="2"/>
  <c r="G137" i="2"/>
  <c r="B137" i="2"/>
  <c r="G136" i="2"/>
  <c r="B136" i="2"/>
  <c r="G135" i="2"/>
  <c r="B135" i="2"/>
  <c r="G134" i="2"/>
  <c r="B134" i="2"/>
  <c r="G133" i="2"/>
  <c r="B133" i="2"/>
  <c r="G132" i="2"/>
  <c r="B132" i="2"/>
  <c r="G131" i="2"/>
  <c r="B131" i="2"/>
  <c r="G130" i="2"/>
  <c r="B130" i="2"/>
  <c r="G129" i="2"/>
  <c r="B129" i="2"/>
  <c r="G128" i="2"/>
  <c r="B128" i="2"/>
  <c r="G127" i="2"/>
  <c r="B127" i="2"/>
  <c r="G126" i="2"/>
  <c r="B126" i="2"/>
  <c r="G125" i="2"/>
  <c r="B125" i="2"/>
  <c r="G124" i="2"/>
  <c r="B124" i="2"/>
  <c r="G123" i="2"/>
  <c r="B123" i="2"/>
  <c r="G122" i="2"/>
  <c r="B122" i="2"/>
  <c r="G121" i="2"/>
  <c r="B121" i="2"/>
  <c r="G120" i="2"/>
  <c r="B120" i="2"/>
  <c r="G119" i="2"/>
  <c r="B119" i="2"/>
  <c r="G118" i="2"/>
  <c r="B118" i="2"/>
  <c r="G117" i="2"/>
  <c r="B117" i="2"/>
  <c r="G116" i="2"/>
  <c r="B116" i="2"/>
  <c r="G115" i="2"/>
  <c r="B115" i="2"/>
  <c r="G114" i="2"/>
  <c r="B114" i="2"/>
  <c r="G112" i="2"/>
  <c r="B112" i="2"/>
  <c r="G111" i="2"/>
  <c r="B111" i="2"/>
  <c r="G110" i="2"/>
  <c r="B110" i="2"/>
  <c r="G109" i="2"/>
  <c r="B109" i="2"/>
  <c r="G108" i="2"/>
  <c r="B108" i="2"/>
  <c r="G107" i="2"/>
  <c r="B107" i="2"/>
  <c r="G106" i="2"/>
  <c r="B106" i="2"/>
  <c r="G105" i="2"/>
  <c r="B105" i="2"/>
  <c r="G104" i="2"/>
  <c r="B104" i="2"/>
  <c r="G103" i="2"/>
  <c r="B103" i="2"/>
  <c r="G102" i="2"/>
  <c r="B102" i="2"/>
  <c r="G100" i="2"/>
  <c r="B100" i="2"/>
  <c r="G99" i="2"/>
  <c r="B99" i="2"/>
  <c r="G98" i="2"/>
  <c r="B98" i="2"/>
  <c r="G97" i="2"/>
  <c r="B97" i="2"/>
  <c r="G96" i="2"/>
  <c r="B96" i="2"/>
  <c r="G95" i="2"/>
  <c r="B95" i="2"/>
  <c r="G94" i="2"/>
  <c r="B94" i="2"/>
  <c r="G93" i="2"/>
  <c r="B93" i="2"/>
  <c r="G92" i="2"/>
  <c r="B92" i="2"/>
  <c r="G91" i="2"/>
  <c r="B91" i="2"/>
  <c r="G90" i="2"/>
  <c r="B90" i="2"/>
  <c r="G89" i="2"/>
  <c r="B89" i="2"/>
  <c r="G88" i="2"/>
  <c r="B88" i="2"/>
  <c r="G87" i="2"/>
  <c r="B87" i="2"/>
  <c r="G86" i="2"/>
  <c r="B86" i="2"/>
  <c r="G85" i="2"/>
  <c r="B85" i="2"/>
  <c r="G84" i="2"/>
  <c r="B84" i="2"/>
  <c r="G83" i="2"/>
  <c r="B83" i="2"/>
  <c r="G82" i="2"/>
  <c r="B82" i="2"/>
  <c r="G81" i="2"/>
  <c r="B81" i="2"/>
  <c r="G80" i="2"/>
  <c r="B80" i="2"/>
  <c r="G79" i="2"/>
  <c r="B79" i="2"/>
  <c r="G78" i="2"/>
  <c r="B78" i="2"/>
  <c r="G77" i="2"/>
  <c r="B77" i="2"/>
  <c r="G76" i="2"/>
  <c r="B76" i="2"/>
  <c r="G75" i="2"/>
  <c r="B75" i="2"/>
  <c r="G74" i="2"/>
  <c r="B74" i="2"/>
  <c r="G73" i="2"/>
  <c r="B73" i="2"/>
  <c r="G72" i="2"/>
  <c r="B72" i="2"/>
  <c r="G71" i="2"/>
  <c r="B71" i="2"/>
  <c r="G70" i="2"/>
  <c r="B70" i="2"/>
  <c r="G69" i="2"/>
  <c r="B69" i="2"/>
  <c r="G68" i="2"/>
  <c r="B68" i="2"/>
  <c r="G67" i="2"/>
  <c r="B67" i="2"/>
  <c r="G66" i="2"/>
  <c r="B66" i="2"/>
  <c r="G65" i="2"/>
  <c r="B65" i="2"/>
  <c r="G64" i="2"/>
  <c r="B64" i="2"/>
  <c r="G63" i="2"/>
  <c r="B63" i="2"/>
  <c r="G62" i="2"/>
  <c r="B62" i="2"/>
  <c r="G61" i="2"/>
  <c r="B61" i="2"/>
  <c r="G60" i="2"/>
  <c r="B60" i="2"/>
  <c r="G59" i="2"/>
  <c r="B59" i="2"/>
  <c r="G58" i="2"/>
  <c r="B58" i="2"/>
  <c r="G57" i="2"/>
  <c r="B57" i="2"/>
  <c r="G56" i="2"/>
  <c r="B56" i="2"/>
  <c r="G55" i="2"/>
  <c r="B55" i="2"/>
  <c r="G54" i="2"/>
  <c r="B54" i="2"/>
  <c r="G53" i="2"/>
  <c r="B53" i="2"/>
  <c r="G52" i="2"/>
  <c r="B52" i="2"/>
  <c r="G51" i="2"/>
  <c r="B51" i="2"/>
  <c r="G50" i="2"/>
  <c r="B50" i="2"/>
  <c r="G49" i="2"/>
  <c r="B49" i="2"/>
  <c r="G48" i="2"/>
  <c r="B48" i="2"/>
  <c r="G47" i="2"/>
  <c r="B47" i="2"/>
  <c r="G46" i="2"/>
  <c r="B46" i="2"/>
  <c r="G45" i="2"/>
  <c r="B45" i="2"/>
  <c r="G44" i="2"/>
  <c r="B44" i="2"/>
  <c r="G43" i="2"/>
  <c r="B43" i="2"/>
  <c r="G42" i="2"/>
  <c r="B42" i="2"/>
  <c r="G41" i="2"/>
  <c r="B41" i="2"/>
  <c r="G40" i="2"/>
  <c r="B40" i="2"/>
  <c r="G39" i="2"/>
  <c r="B39" i="2"/>
  <c r="G38" i="2"/>
  <c r="B38" i="2"/>
  <c r="G37" i="2"/>
  <c r="B37" i="2"/>
  <c r="G36" i="2"/>
  <c r="B36" i="2"/>
  <c r="G35" i="2"/>
  <c r="B35" i="2"/>
  <c r="B34" i="2"/>
  <c r="G33" i="2"/>
  <c r="B33" i="2"/>
  <c r="G32" i="2"/>
  <c r="B32" i="2"/>
  <c r="G31" i="2"/>
  <c r="B31" i="2"/>
  <c r="G30" i="2"/>
  <c r="B30" i="2"/>
  <c r="G29" i="2"/>
  <c r="B29" i="2"/>
  <c r="B28" i="2"/>
  <c r="G27" i="2"/>
  <c r="B27" i="2"/>
  <c r="G26" i="2"/>
  <c r="B26" i="2"/>
  <c r="G25" i="2"/>
  <c r="B25" i="2"/>
  <c r="G24" i="2"/>
  <c r="B24" i="2"/>
  <c r="G23" i="2"/>
  <c r="B23" i="2"/>
  <c r="G22" i="2"/>
  <c r="B22" i="2"/>
  <c r="G21" i="2"/>
  <c r="B21" i="2"/>
  <c r="G20" i="2"/>
  <c r="B20" i="2"/>
  <c r="G19" i="2"/>
  <c r="B19" i="2"/>
  <c r="G18" i="2"/>
  <c r="B18" i="2"/>
  <c r="G17" i="2"/>
  <c r="B17" i="2"/>
  <c r="G16" i="2"/>
  <c r="B16" i="2"/>
  <c r="G15" i="2"/>
  <c r="B15" i="2"/>
  <c r="G14" i="2"/>
  <c r="B14" i="2"/>
  <c r="G13" i="2"/>
  <c r="B13" i="2"/>
  <c r="G12" i="2"/>
  <c r="B12" i="2"/>
  <c r="G11" i="2"/>
  <c r="B11" i="2"/>
  <c r="G10" i="2"/>
  <c r="B10" i="2"/>
  <c r="G9" i="2"/>
  <c r="B9" i="2"/>
  <c r="G8" i="2"/>
  <c r="B8" i="2"/>
  <c r="G7" i="2"/>
  <c r="B7" i="2"/>
  <c r="G6" i="2"/>
  <c r="B6" i="2"/>
  <c r="G5" i="2"/>
  <c r="B5" i="2"/>
  <c r="G4" i="2"/>
  <c r="B4" i="2"/>
  <c r="G3" i="2"/>
  <c r="B3" i="2"/>
  <c r="G2" i="2"/>
  <c r="B2" i="2"/>
</calcChain>
</file>

<file path=xl/sharedStrings.xml><?xml version="1.0" encoding="utf-8"?>
<sst xmlns="http://schemas.openxmlformats.org/spreadsheetml/2006/main" count="1861" uniqueCount="598">
  <si>
    <t>skill_level</t>
  </si>
  <si>
    <t>skill_level_term</t>
  </si>
  <si>
    <t>skill_level_description</t>
  </si>
  <si>
    <t>skill_level_observation</t>
  </si>
  <si>
    <t>Surpreendentemente ruim</t>
  </si>
  <si>
    <t>Você nunca acertará o oponente a não ser por sorte.</t>
  </si>
  <si>
    <t>Usuários por padrão, geralmente.</t>
  </si>
  <si>
    <t>Desajeitado</t>
  </si>
  <si>
    <t>Um homem médio usando uma arma simples pela primeira vez.</t>
  </si>
  <si>
    <t>Iniciantes, atrapalhados engraçados, habilidades dos velhos tempos da escola</t>
  </si>
  <si>
    <t>Sem Experiência</t>
  </si>
  <si>
    <t>Um recruta em seu primeiro mês de treinamento.</t>
  </si>
  <si>
    <t>Aprendiz</t>
  </si>
  <si>
    <t>Um homem normal depois de um pouco de estudo, ou um neófito talentoso.</t>
  </si>
  <si>
    <t>A maioria das habilidades profissionais para pessoas comuns geralmente são adquiridas quando elas têm tempo livre e podem obter bônus por equipamentos.</t>
  </si>
  <si>
    <t>Veterano</t>
  </si>
  <si>
    <t>Um guerreiro bom e experiente. Você raramente erra.</t>
  </si>
  <si>
    <t>Habilidades profissionais para pessoas sob estresse. Cirurgiões de campo, pilotos de caça, etc. Aventureiros sempre desejarão ter habilidades de combate à distância/corpo a corpo nesse nível ou superior.</t>
  </si>
  <si>
    <t>Especialista</t>
  </si>
  <si>
    <t>Você tem muita experiência.</t>
  </si>
  <si>
    <t>Especialistas de nível internacional — às vezes os melhores de uma geração. Lembre-se de adquirir técnicas úteis ou habilidades relacionadas.</t>
  </si>
  <si>
    <t>Mestre</t>
  </si>
  <si>
    <t>Você seria capaz de treinar outras pessoas, e bem.</t>
  </si>
  <si>
    <t>Mestres cinemáticos. A habilidade 20 é um bom ponto de partida para vantagens do tipo Inventor que desafiam as leis da física. Você pode assar um bolo mais rápido sem queimá-lo ou consertar um carro com chiclete. Os subníveis são:
- 20-21: Maior que a Vida
- 22-23: Lendário
- 24-26: Sobre-humano
- 27+: Divino</t>
  </si>
  <si>
    <t>skill_id</t>
  </si>
  <si>
    <t>skill_box_name</t>
  </si>
  <si>
    <t>skill_name</t>
  </si>
  <si>
    <t>skill_category</t>
  </si>
  <si>
    <t>skill_type</t>
  </si>
  <si>
    <t>skill_base_status</t>
  </si>
  <si>
    <t>skill_pre_defined_level</t>
  </si>
  <si>
    <t>skill_source_book</t>
  </si>
  <si>
    <t>skill_source_page</t>
  </si>
  <si>
    <t>skill_description</t>
  </si>
  <si>
    <t>skill_prerequisite</t>
  </si>
  <si>
    <t>SKILL-000</t>
  </si>
  <si>
    <t>ADESTRAMENTO DE ANIMAIS</t>
  </si>
  <si>
    <t>Perícias com Animais</t>
  </si>
  <si>
    <t>M</t>
  </si>
  <si>
    <t>D</t>
  </si>
  <si>
    <t xml:space="preserve">
- IQ -6</t>
  </si>
  <si>
    <t>Módulo Básico</t>
  </si>
  <si>
    <t xml:space="preserve">
Esta é a habilidade de treinar e trabalhar com todos os tipos de animais. Para treinar um animal, o adestrador deve ser bem sucedido em um teste de habilidade em cada dia de treinamento:
- Uma falha significa que o animal não aprendeu nada.
- Uma falha crítica significa que o animal atacou o adestrador.
- O tempo que se leva para adestrar um animal depende da sua inteligência e afabilidade. Veja o cap. Animais, na pág. 140.
Quando estiver trabalhando com um animal treinado, o adestrador deverá fazer um teste de habilidade para cada tarefa que ele determina para o animal.
- Modificadores: -5 se o animal não estiver familiarizado com o adestrador, -5 se as circunstâncias forem estressantes para o animal e -3 ou mais se a tarefa for complexa.
Esta perícia pode também (em alguns momentos) ser usada para acalmar um animal selvagem, perigoso ou não adestrado. -5 se a criatura for selvagem ou estiver muito assustada, -10 se ele for um animal que ataca seres humanos.
Por fim, esta perícia proporciona uma certa vantagem numa luta contra animais. Se seu nível nesta perícia for maior ou igual a 15, qualquer ataque feito contra você por um animal estará submetido a um redutor de -1, porque você é capaz de prever seu comportamento. Se você for um especialista (nível maior ou igual a 20), os ataques do animal estarão submetidos a um redutor de -2.</t>
  </si>
  <si>
    <t>FALCOARIA</t>
  </si>
  <si>
    <t xml:space="preserve">
- IQ -5</t>
  </si>
  <si>
    <t xml:space="preserve">
- Esta é a habilidade de caçar pequenos animais usando um falcão treinado.
- Um bom falcoeiro conhecerá técnicas de caça e treinamento, além de saber como cuidar de um falcão (veja a coluna lateral na pág. 142).
- Descobrir um ninho de falcão na primavera exige uma semana de busca e um sucesso em um teste de falcoaria. O ninho terá 1D-3 filhotes.</t>
  </si>
  <si>
    <t>CARREGAMENTO</t>
  </si>
  <si>
    <t xml:space="preserve">
- IQ -6
- ADESTRAMENTO DE ANIMAIS -6</t>
  </si>
  <si>
    <t xml:space="preserve">
- Esta é a habilidade de carregar e descarregar animais com rapidez e eficiência.
- Ela inclui a habilidade de avaliar corretamente os animais antes da compra, conseguir deles o melhor rendimento possível e selecionar as melhores rotas para as récuas.
- Sempre haverá demanda de peritos neste assunto em áreas comerciais com NT menor que 6.
- O ganho será sempre da ordem do salário de um comandante de mercenários.
- Se uma caravana não tiver no mínimo um mestre-carregador (NH 15+), sua velocidade diminuirá em 20%.
- O exército americano usou milhares de animais de carga na Segunda Guerra Mundial e teria usado muitos mais, mas não encontrou o número necessário de bons carregadores, e 4 anos de guerra não foram suficientes para treiná-los.
- Em cenários com NT mais elevado, esta perícia é substituída pela Fretagem, que é menos complexa (Mental/Média) por não exigir a familiaridade com animais.</t>
  </si>
  <si>
    <t>MONTARIA | CAVALOS</t>
  </si>
  <si>
    <t>F</t>
  </si>
  <si>
    <t xml:space="preserve">
- ADESTRAMENTO DE ANIMAIS -3
- DX -5</t>
  </si>
  <si>
    <t xml:space="preserve">
- Esta perícia é diferente para cada tipo de animal (em outras palavras, você precisa escolher um animal no qual deseja se especializar).
- Se você encontrar um tipo de montaria com o qual não está familiarizado, deverá usar seu nível de habilidade com o tipo de animal mais próximo.
- Você deve fazer um teste de habilidade ao tentar montar um animal pela primeira vez e repeti-lo toda vez que alguma coisa assustá-lo ou provocá-lo (por ex., um salto).
- Modificadores: +5 se o animal o conhece e gosta de você; -10 se o animal não for uma criatura “comum” de montaria ou não tiver sido treinado como tal.</t>
  </si>
  <si>
    <t>MONTARIA | CAMELOS</t>
  </si>
  <si>
    <t>MONTARIA | BOIS</t>
  </si>
  <si>
    <t>MONTARIA | HIPOGRIFOS</t>
  </si>
  <si>
    <t>MONTARIA | DRAGÕES</t>
  </si>
  <si>
    <t>MONTARIA | WARGS</t>
  </si>
  <si>
    <t>CARREIRO | CAVALOS</t>
  </si>
  <si>
    <t>- ADESTRAMENTO DE ANIMAIS -4</t>
  </si>
  <si>
    <t xml:space="preserve">
- Esta é a perícia na condução de juntas de animais, como um carroção.
- Ela inclui a habilidade de atrelar e cuidar dos animais, e de avaliá-los antes de uma compra.
- Conduzir um grupo com mais de 4 animais, ou um grupo com animais desconhecidos, submete o NH do personagem a um redutor de -2. Cada espécie de animal exige uma perícia diferente.
- O nível pré-definido em cada uma delas é igual ao nível em qualquer uma das outras -3.
Quando um carroção ou uma carga (um canhão, p.ex.) for movimentado a galope (mais de 30 km/h ou 10 hexes/turno), o condutor deverá fazer um teste de Carreiro a cada 10 segundos, com um redutor que pode ir até -5 devido a um terreno ruim.
- Uma falha numa jogada significa que a carga foi derrubada. Isto equivale a uma queda de 5 metros (dano igual a 5d6-10) para cada homem ou animal envolvido.
- O condutor precisará ser bem sucedido em testes de Adestramento de Animais para conseguir acalmar os animais
-  Jogue também 2 dados para cada animal. 
- Um resultado igual a 12 significa uma perna quebrada.
- O tempo requerido para reacomodar a carga dependerá do que está sendo transportado, do terreno e do clima.</t>
  </si>
  <si>
    <t>CARREIRO | CAMELOS</t>
  </si>
  <si>
    <t>CARREIRO | BOIS</t>
  </si>
  <si>
    <t>CARREIRO | ELEFANTES</t>
  </si>
  <si>
    <t>VETERINÁRIA | PEQUENOS</t>
  </si>
  <si>
    <t>- ADESTRAMENTO DE ANIMAIS -5</t>
  </si>
  <si>
    <t>- Esta é a habilidade em cuidar de animais feridos ou doentes. Trata-se de uma perícia Médica (veja pág. 56). 
- Modificadores: +5 se o animal já o conhece e confia em você; -2 ou pior se o animal for de um tipo com o qual você não está familiarizado.
- É permitida uma Especialização opcional (pág. 43).</t>
  </si>
  <si>
    <t>VETERINÁRIA | GRANDES</t>
  </si>
  <si>
    <t>VETERINÁRIA | SILVESTRES</t>
  </si>
  <si>
    <t>VETERINÁRIA | EXÓTICOS</t>
  </si>
  <si>
    <t>MD</t>
  </si>
  <si>
    <t>VETERINÁRIA | MÁGICOS</t>
  </si>
  <si>
    <t>ARTISTA</t>
  </si>
  <si>
    <t>Perícias Artísticas</t>
  </si>
  <si>
    <t xml:space="preserve">
- Esta é a habilidade de desenhar e pintar com beleza e precisão.
-Um sucesso num teste desta perícia poderia significar (por exemplo) que você fez um desenho bom o suficiente para ajudar na identificação de uma pessoa, desenhar um mapa fácil de seguir ou mesmo pintar um quadro bom o suficiente para trocar por uma refeição.</t>
  </si>
  <si>
    <t>TROVADOR</t>
  </si>
  <si>
    <t>- IQ -5
- ATUAÇÃO -2</t>
  </si>
  <si>
    <t xml:space="preserve">
- Esta é a habilidade de contar histórias e falar de improviso.
- O bom uso deste talento permitirá (por exemplo) que você faça um bom discurso político; entretenha um grupo de pessoas ao redor de uma fogueira; incite (ou acalme) um tumulto ou tenha sucesso no papel de “bobo da corte”.
- Modificadores: +2 se você tiver a vantagem Voz Melodiosa e qualquer bônus devido ao seu Carisma, se o tiver.
- Se você tentar representar em um idioma que não seja o seu, subtraia 1 de seu NH para cada ponto abaixo de 12 em seu nível de proficiência naquela língua — por exemplo, se você estiver se apresentando em francês e seu NH com esta língua é 8, você estará submetido a um redutor de -4 em sua perícia como Trovador.</t>
  </si>
  <si>
    <t>CALIGRAFIA</t>
  </si>
  <si>
    <t>- ARTISTA -2
- DX -5</t>
  </si>
  <si>
    <t xml:space="preserve">
- Esta é a arte da escrita manual bela e decorativa. 
- Ela serve principalmente para ganhar a vida.</t>
  </si>
  <si>
    <t>ALFABETIZAÇÃO</t>
  </si>
  <si>
    <t>DANÇA</t>
  </si>
  <si>
    <t xml:space="preserve">
- DX -5</t>
  </si>
  <si>
    <t xml:space="preserve">
- Esta é a capacidade de executar danças peculiares à sua própria cultura e de aprender novos estilos rapidamente.
- Modificadores: -5 se a dança for desconhecida.
- Uma dança ser-lhe-á familiar depois que você conseguir executá-la com sucesso por 3 vezes.
- Note que algumas deficiências físicas tornam esta perícia completamente impossível!</t>
  </si>
  <si>
    <t>INSTRUMENTO MUSICAL</t>
  </si>
  <si>
    <t xml:space="preserve">
- QUALQUER INSTRUMENTO MUSICAL SIMILAR - 3</t>
  </si>
  <si>
    <t xml:space="preserve">
- Cada instrumento musical é um talento à parte
-  O uso da perícia permitir-lhe-á apresentar-se com competência com o instrumento em questão.
- Faça um teste para cada nova performance.</t>
  </si>
  <si>
    <t>FOTOGRAFIA</t>
  </si>
  <si>
    <t xml:space="preserve">
- Esta é a habilidade de usar uma máquina fotográfica e uma câmara escura adequadamente, para produzir fotos reconhecíveis e atraentes.
- Pode-se usar o valor pré-definido para testar a habilidade no uso de máquina fotográfica, mas nunca para a revelação do filme em uma câmara escura. 
- Modificadores: -3 para uma máquina fotográfica desconhecida; -3 para uma máquina de filmar.</t>
  </si>
  <si>
    <t>POESIA</t>
  </si>
  <si>
    <t xml:space="preserve">
- IQ -5
- Língua -5</t>
  </si>
  <si>
    <t xml:space="preserve">
- Esta é a habilidade de compor qualquer tipo de poesia conhecido em sua civilização com “boa” qualidade, em qualquer língua em que você tenha fluência.
- Um teste de Poesia bem sucedido significa que você compôs um bom poema, num espaço de tempo adequado (determinado pelo Mestre).
- Uma falha significa que você não foi capaz de apresentar boas rimas, ou (pelo motivo que for) sua audiência simplesmente não gostou de seu trabalho.
- Modificadores: -3 (ou pior) se você estiver muito pressionado pelo tempo; +3 (ou mais) se tiver bastante tempo; as mesmas penalidades para língua estrangeira já vistas para “Trovador”.</t>
  </si>
  <si>
    <t>ESCULTURA</t>
  </si>
  <si>
    <t xml:space="preserve">
- DX -5
- IQ - 5</t>
  </si>
  <si>
    <t xml:space="preserve">
- Esta é a habilidade de moldar uma imagem razoavelmente semelhan- te a um ser humano ou um objeto, usando argila, madeira, marfim ou o que lhe venha às mãos.
- Para se produzir uma escultura em metal é necessário ter habilidade com forjaria.
- O tempo necessário é decidido pelo Mestre.
- O uso principal da escultura é como meio de vida, mas ela pode ser muito útil para aventureiros.
- Modificadores: -5 se as ferramentas apropriadas não estiverem disponíveis; -5 se o personagem não estiver familiarizado com o material; -5 se o material for difícil de trabalhar (por ex., mármore).</t>
  </si>
  <si>
    <t>CANTO</t>
  </si>
  <si>
    <t>HT</t>
  </si>
  <si>
    <t xml:space="preserve">
- HT -4</t>
  </si>
  <si>
    <t xml:space="preserve">
- O estudo desta perícia está baseado em HT, e não DX.
- Esta é a habilidade de cantar de modo agradável.
- Um sucesso em um teste de habilidade significa que a audiência gostou de sua canção.
- Modificadores: -2 se audiência não entender a língua em que você está cantando; +2 se você tiver a vantagem de Voz Melodiosa.</t>
  </si>
  <si>
    <t>ESCRITA</t>
  </si>
  <si>
    <t xml:space="preserve">
- IQ -5
- LÍNGUA -5</t>
  </si>
  <si>
    <t xml:space="preserve">
- Esta é a habilidade de escrever de maneira clara e/ou divertida.
- Um sucesso em um teste de habilidade significa que o trabalho é legível e acurado.
- Modificadores: -3 se você estava com pressa; +3 se tinha bastante tempo à disposição; -5 se você estava escrevendo sobre um assunto com o qual não está familiarizado.
- O relatório de um espião, militar ou detetive particular será muito mais útil se estiver bem escrito!</t>
  </si>
  <si>
    <t>ACROBACIA</t>
  </si>
  <si>
    <t>Perícias Atléticas</t>
  </si>
  <si>
    <t xml:space="preserve">
- DX -6</t>
  </si>
  <si>
    <t xml:space="preserve">
- Esta é a habilidade de realizar proezas acrobáticas e ginásticas, rolar, tomar tombos, etc.
- Deve-se fazer um teste para cada truque que você tenta.
- Esta perícia pode ser conveniente em uma aventura; andar na corda bamba, pirâmides humanas e trapézio, todos têm aplicações práticas.
- Um teste de Acrobacia pode ser substituído por um teste de DX em qualquer tentativa de saltar, rolar, evitar ser Projetado para Trás e assim por diante.
- No esforço de se Esquivar de um golpe, um personagem pode tentar uma Esquiva Acrobática (v. pág. 108), um salto ou um rolamento que evi- te o ataque de uma maneira vistosa.
- Um sucesso em um teste de Acrobacia reduzirá a distância efetiva de qualquer queda em 5 metros (v. pág. 131).
- O Mestre pode aplicar os redutores que achar convenientes quando se tratar de uma proeza particularmente difícil.</t>
  </si>
  <si>
    <t>CONTROLE DA RESPIRAÇÃO</t>
  </si>
  <si>
    <t xml:space="preserve">
- Esta é a habilidade de respirar com a maior eficiência possível.
- No caso de um sucesso em um teste de habilidade o personagem pode triplicar o tempo que ele é capaz de prender a respiração por qualquer razão (por ex., debaixo d’água).
- Um sucesso em um teste de habilidade também possibilitará a recuperação de 1 ponto de Mana em apenas dois minutos, podendo ser feito várias vezes ao dia, porém cada tentativa subsequente a primeira está sujeita a um redutor de -1 progressivo.
- Normalmente, esta perícia não é conhecida fora das civilizações orientais; o Mestre poderá torná-la disponível em um cenário futurista.</t>
  </si>
  <si>
    <t>SALTO</t>
  </si>
  <si>
    <t xml:space="preserve">
- Esta é a perícia de fazer o melhor uso possível de sua força quando você salta.
- Quando o personagem tenta um salto difícil, ele poderá substituir seu NH em Salto por sua ST ou DX.</t>
  </si>
  <si>
    <t>PARAQUEDISMO</t>
  </si>
  <si>
    <t xml:space="preserve">
- DX -4
- IQ -6</t>
  </si>
  <si>
    <t xml:space="preserve">
- Esta é a habilidade de sobreviver a um salto de paraquedas.
- Uma falha em um teste desta perícia poderia significar desde um pequeno desvio na rota até o pânico que faria o personagem deixar seu equipamento cair — o Mestre decide.
- Uma falha crítica significa que o paraquedas não abriu ou as cordas estavam completamente embaraçadas. (Veja Queda, pág. 130.)
- Quando o salto for realizado sob condições ruins, o Mestre pode exigir um sucesso em um teste de habilidade para sobreviver a uma aterrissagem do tipo “quebra-tornozelo” ou se esquivar das árvores.</t>
  </si>
  <si>
    <t>CORRIDA</t>
  </si>
  <si>
    <t xml:space="preserve">
- Esta perícia está baseada em HT, não DX.
- Ela representa o treino em corridas de curta e longa distância.
- Se você estudou este assunto, divida o seu NH por 8 (não arredonde) e some o resultado a seu parâmetro Velocidade quando for calcular seu Deslocamento. (Isto afeta o movimento em terra somente).
- Exemplo: Se seu NH for igual a 18, seu parâmetro Velocidade deverá ser acrescido de 2,25 pontos antes de calcular seu parâmetro Deslocamento. Veja pág. 88.</t>
  </si>
  <si>
    <t>MERGULHO</t>
  </si>
  <si>
    <t xml:space="preserve">
- IQ -5
- NATAÇÃO -5</t>
  </si>
  <si>
    <t xml:space="preserve">
- Esta é a habilidade em usar equipamentos para respirar debaixo d’água.
- Para evitar a ingestão de água (o que acarretaria na perda de 1 ponto de ST e em risco de afogamento), é necessário ter êxito no teste feito logo que você entra na água e nos subsquentes, feitos a cada 30 minutos.
- Um sucesso no teste da perícia (e neste caso não é lícito usar os níveis pré-definidos), também lhe permitirá notar problemas com o equipamento, se você checá-lo antes de usar.</t>
  </si>
  <si>
    <t>ESQUI</t>
  </si>
  <si>
    <t xml:space="preserve">
- Esta é a capacidade de esquiar.
- Um teste de habilidade é requerido quando você começa uma descida, exceto em uma rampa muito fácil, e outro a cada 30 minutos.
- Uma falha significa que você cai. No caso de uma falha crítica, você sofrerá 1d6-1 pontos de dano em um membro escolhido aleatoriamente, e receberá a lesão incapacitante até que o ferimento sare.
- Se você tiver sofrido 5 pontos de dano, o membro estará na verdade quebrado.</t>
  </si>
  <si>
    <t>NATAÇÃO</t>
  </si>
  <si>
    <t xml:space="preserve">
- ST -5
- DX-4</t>
  </si>
  <si>
    <t xml:space="preserve">
- Esta perícia é usada tanto para nadar (ou boiar em casos de emergência), como para salvar uma vítima de afogamento.
- Veja Natação (pág.91), para as regras completas sobre natação, afogamento e salvamento de vidas.</t>
  </si>
  <si>
    <t>ARREMESSO</t>
  </si>
  <si>
    <t xml:space="preserve">
- Esta é a perícia geral de arremessar qualquer coisa que você consiga apanhar.
- Ela ajuda tanto na precisão (faça testes contra sua perícia em Arremesso para qualquer coisa que você seja capaz de erguer), quanto na distância (adicione 1/6 de seu NH em Arremesso à sua ST quando for determinar a distância).
- Veja o parágrafo Arremessando Objetos, na pág. 90.
- Não há muito proveito em se aprender a perícia em Armas Arremessadas quando se conhece a perícia Arremesso.
- Aprenda a perícia com armas se você deseja se especializar sem gastar muito tempo praticando.
- Se você não tiver esta perícia, jogue contra DX-3 quando estiver arremessando algo para atingir um alvo, ou contra DX para tentar atingir uma área.</t>
  </si>
  <si>
    <t>MACHADO/MAÇA</t>
  </si>
  <si>
    <t>Perícias Com Armas e Combate</t>
  </si>
  <si>
    <t xml:space="preserve">
- Habilidade no uso de qualquer arma pequena e desbalanceada como um machado, machadinha, maça, picareta etc...</t>
  </si>
  <si>
    <t>ARREMESSO DE MACHADO</t>
  </si>
  <si>
    <t xml:space="preserve">
- DX -4</t>
  </si>
  <si>
    <t xml:space="preserve">
- Habilidade no arremesso de qualquer machado de arremesso equilibrado, mas não um machado de guerra desbalanceado.</t>
  </si>
  <si>
    <t>ARMAS DE PÓLVORA</t>
  </si>
  <si>
    <t xml:space="preserve">
- Esta é a perícia no uso de armas de pólvora, incluindo mosquetões, pistolas e fuzis.
- Adicione 1 a seu NH, se sua IQ for igual a 10 ou 11, e 2 para o caso de IQ maior ou igual a 12.
- Os modificadores são iguais aos encontrados em Armas de Fogo, pág 51.</t>
  </si>
  <si>
    <t>ZARABATANA</t>
  </si>
  <si>
    <t xml:space="preserve">
- Esta é a perícia no uso da zarabatana, para lançar pequenos dardos (normalmente envenenados).
- Estes dardos não são capazes de furar as roupas normais, a não ser no caso de um sucesso decisivo, e nunca penetram na roupa ou numa armadura.
- Se um dardo atinge a pele ou roupa leve, o veneno poderá ter efeito.
- Modificadores: -2 ou mais no caso de vento.</t>
  </si>
  <si>
    <t>BOLADEIRAS</t>
  </si>
  <si>
    <t xml:space="preserve">
- Esta é a perícia no lançamento de boleadeiras (uma tira de couro com dois ou mais pesos atados a suas pontas) para enredar a vítima.
- São usadas principalmente para parar animais numa tropa, ou na caça de pequenos animais selvagens ou pássaros.
- Podem também ser usadas em combate.
- É possível se esquivar ou bloqueá-las, mas uma tentativa de apará-las fará com que elas se enrolem automaticamente na arma usada para tal.
- Exceção: Uma manobra bem sucedida de aparar com uma arma cortante, cortará as tiras, arruinando as boleadeiras.
-Uma boleadeira pode ser mirada em uma parte do corpo, ou pode-se usar a tabela de pontos de impacto, para escolher uma aleatoriamente.
- As boleadeiras se enrolam automaticamente no alvo, se o atingirem, além de provocar o dano.
- Se um braço, mão ou arma for atingido faça uma Disputa Rápida entre a perícia do atacante e o atributo ST do alvo.
- Se o alvo perder, ele deixará a arma cair (não afeta escudos presos ao antebraço com tiras).
- Se a perna for atingida, as duas pernas estarão presas. Um alvo que esteja correndo deverá ser bem sucedido em um teste de DX para não cair (recebendo 1d6-2 pontos de dano).
- Uma vez enredada, a vítima precisará de três sucessos em testes de DX (e uma mão livre) para conseguir escapar. Durante o processo, nenhuma outra ação poderá ser realizada.
- Animais jogam contra DX-3 para tentar escapar se eles tiverem patas com garras, ou DX-6 se tiverem cascos.</t>
  </si>
  <si>
    <t>ARCO</t>
  </si>
  <si>
    <t xml:space="preserve">
- Esta é a perícia no uso de arcos em geral.
- Ela cobre também os arcos compostos, apesar de que uma pessoa que nunca tenha visto um antes precisará de um sucesso em um teste de IQ para descobrir como usá-lo corretamente.</t>
  </si>
  <si>
    <t>BRIGA</t>
  </si>
  <si>
    <t xml:space="preserve">
- Esta é a “perícia”, nada científica, de “sair-no-tapa” num combate de perto.
- Faça um teste de Briga sempre que atacar o adversário com as mãos ou pés para ver se consegue atingi-lo.
- Some 1/10 de seu NH em Briga (arredondado para baixo) ao dano provocado.
- É possível aparar duas vezes por turno (um para cada mão) quando você se defende com as mãos limpas, e seu parâmetro Aparar será igual a 2/3 de seu NH em Briga.
-Com esta perícia só é possível aparar ataques de mãos, pés e armas usadas em combate de perto.</t>
  </si>
  <si>
    <t>ESPADAS LONGAS</t>
  </si>
  <si>
    <t xml:space="preserve">
-  DX-5
- ESPADA CURTA -2</t>
  </si>
  <si>
    <t xml:space="preserve">
- Esta é a perícia no uso de qualquer arma para ser empunhada com uma só mão, balanceada, medindo entre 100 e 120 cm (entre elas Montantes, Cimitarras, bastões de baseball e coisas similares).</t>
  </si>
  <si>
    <t>BROQUEL</t>
  </si>
  <si>
    <t xml:space="preserve">
- DX -4
- ESCUDO -2</t>
  </si>
  <si>
    <t xml:space="preserve">
- Esta é a habilidade em usar um broquel (um pequeno escudo seguro com a mão ou preso ao braço) de estilo medieval.
- Esta perícia é usada exatamente da mesma maneira que a Perícia Escudo, e pode ser usada para calcular um Bloqueio se você tiver um broquel ao invés de um escudo.</t>
  </si>
  <si>
    <t>BESTA</t>
  </si>
  <si>
    <t xml:space="preserve">
- Esta é a perícia no uso de bestas, incluindo as bestas de balas ou de pedras.
- Se você tiver esta perícia, saberá como funcionam as máquinas do tipo da besta usadas para sitiar castelos, mas não terá nenhuma habilidade especial no seu uso.</t>
  </si>
  <si>
    <t>SACAR RAPIDO | FACAS</t>
  </si>
  <si>
    <t xml:space="preserve">
- Existe uma perícia independente para cada tipo de arma.
- Ela está disponível para as seguintes armas:  Faca, Cassetete, Espada (uma só mão), Espada de Duas Mãos, Flecha (inclusive os virotes de besta), Pistola, Fuzil (incluindo metralhadoras de mão, etc...), pentes, municiador rápido.
- O Mestre pode acrescentar uma nova perícia deste tipo para qualquer arma que possa ser sacada rapidamente, mas seja significativamente diferente de todas as armas acima.
- Esta perícia é usada quando você deseja preparar uma arma que está em seu coldre, bainha, etc...
- Um sucesso significa que você preparou a arma instantaneamente (isto não conta como manobra) e pode atacar com ela (ou carregar o arco) no mesmo turno.
- Uma falha significa que você preparou a arma normalmente, mas não pode fazer mais nada neste turno (se era uma flecha você a deixou cair).
- Uma falha crítica significa que você deixou a arma cair (ou, no caso de flechas, toda a aljava).
- A vantagem Reflexos em Combate dá um bônus de +1 em testes de Sacar Rápido.</t>
  </si>
  <si>
    <t>SACAR RAPIDO | ESPADAS</t>
  </si>
  <si>
    <t>SACAR RAPIDO | MACHADOS/MAÇA</t>
  </si>
  <si>
    <t>SACAR RAPIDO | LANÇAS/BASTÕES</t>
  </si>
  <si>
    <t>SACAR RÁPIDO | MANGUAIS</t>
  </si>
  <si>
    <t>SACAR RÁPIDO | CHICOTES</t>
  </si>
  <si>
    <t>SACAR RÁPIDO | ARMAS EXÓTICAS</t>
  </si>
  <si>
    <t>SACAR RAPIDO | ARCOS</t>
  </si>
  <si>
    <t>SACAR | RAPIDO FLECHAS</t>
  </si>
  <si>
    <t>SACAR RAPIDO | ARMAS DE PÓLVORA</t>
  </si>
  <si>
    <t>SACAR RAPIDO | ARMAS DE FOGO</t>
  </si>
  <si>
    <t>ESGRIMA</t>
  </si>
  <si>
    <t xml:space="preserve">
- DX - 5</t>
  </si>
  <si>
    <t xml:space="preserve">
- Esta é a capacidade de usar as armas dos esgrimistas (rapieira, espadim e sabre).
- O sabre é uma arma leve, cortante e perfurante.
- Se você tiver uma arma destas, um escudo pequeno e uma Carga não maior do que leve, seu Aparar será 2/3 de seu NH em Esgrima (arredondado para baixo).
- Além disso, você pode aparar duas vezes por turno.
- Se você estiver em Defesa Total, poderá aparar qualquer número de ataques em uma rodada.
- Muitos esgrimistas carregam uma adaga como segunda arma. Ela também pode aparar (apara 3 ataques por rodada), mas apenas com a habilidade normal do esgrimista em aparar com uma Faca.
- A única desvantagem do aparar do esgrimista é que suas armas são muito leves e podem quebrar quando usadas para aparar (v. pág. 99, 110).</t>
  </si>
  <si>
    <t>MANGUAL</t>
  </si>
  <si>
    <t xml:space="preserve">
- Esta é a perícia no uso de armas desbalanceadas, com a cabeça ligada ao cabo por uma corrente ou corda, tal como o mangual, morningstar ou o nunchaku.
- O mangual é difícil de se usar, mas difícil de se oferecer defesa também.
- Qualquer tentativa de bloquear uma destas armas está submetida a um redutor de -2.
- Qualquer tentativa de aparar tem um redutor de -4.
- Facas e armas de Esgrima não podem aparar um Mangual. 
- Defesas de artes marciais podem aparar um mangual, mas com um redutor de -4.</t>
  </si>
  <si>
    <t>ARTILHARIA | BALESTRA</t>
  </si>
  <si>
    <t xml:space="preserve">
- DX - 5
- DEMAIS ARTILHARIAS -4</t>
  </si>
  <si>
    <t xml:space="preserve">
- Esta é a perícia na operação de uma arma pesada, incluindo uma arma montada em um veículo. 
- Faça um teste de Artilharia toda vez que disparar sua arma. Modificadores: Veja Familiaridade, pág. 43. -2 para um veículo, sistema de mira, etc., com o qual não esteja familiarizado, -2 para uma arma não familiar de um tipo conhecido (ex.: calibre .30 quando se está acostu- mado com calibre .50); -4 ou mais se a arma estiver em más condições; -4 ou mais para uma arma de um tipo com o qual não se está familiarizado (ex.: laser quando se está acostumado a fuzis sem recuo). 
- Todos os modificadores normais para disparar com armas de projétil também devem ser aplicados.
- Some 1 a seu NH, no caso de ter IQ igual a 10 ou 11 e 2 para uma IQ maior ou igual a 12.
- Um artilheiro pode também servir como um mecânico substituto para sua arma. Faça testes de habilidade com um redutor de -4 para tentar achar o problema, e -8 para tentar consertá-la. Veja Mecânica, pág 54.
- Se você quiser aprender esta perícia para dois ou mais tipos de arma, comece a aprender a segunda a partir de um nível razoável devido à primeira (normalmente -4. Verifique com o Mestre).
- Uma arma de um NT diferente é considerada de “tipo” diferente. Algumas armas: Balestra, Catapulta ,Metralhadora, Fuzil sem Recuo, Lança Foguetes, Canhão Naval, Canhão de tanque</t>
  </si>
  <si>
    <t>ARTILHARIA | CATAPULTA</t>
  </si>
  <si>
    <t>ARTILHARIA | CANHÃO NAVAL</t>
  </si>
  <si>
    <t>ARTILHARIA | CANHÃO FERROVIÁRIO</t>
  </si>
  <si>
    <t>ARTILHARIA | METRALHADORA</t>
  </si>
  <si>
    <t>ARTILHARIA | FUZIL SEM RECUO</t>
  </si>
  <si>
    <t>ARMAS DE FOGO | PISTOLAS</t>
  </si>
  <si>
    <t xml:space="preserve">
- DX - 4
- DEMAIS ARMAS DE FOGO - 4</t>
  </si>
  <si>
    <t xml:space="preserve">
- Esta é a perícia no uso de qualquer tipo de arma de cartucho do séc. XX.
- Some 1 a seu nível de habilidade, se tiver IQ igual a 10 ou 11, e 2 para IQ 12+.
- Modificadores: Veja Familiaridade, (pág. 43). -2 para uma arma de um tipo conhecido com a qual não se está familiarizado (ex.: calibre . 22 quando se está acostumado com calibre 38); - 4 ou mais para uma arma em más condições; - 4 ou mais para uma arma de tipo desconhecido (ex.: um fuzilquando se está acostumado a atirar com pistolas).
- Todos os modificadores descritos para armas de projétil, devem ser aplicados.</t>
  </si>
  <si>
    <t>ARMAS DE FOGO | REVÓLVERES</t>
  </si>
  <si>
    <t>ARMAS DE FOGO | SUBMETRALHADORA</t>
  </si>
  <si>
    <t>ARMAS DE FOGO |  METRALHADORAS</t>
  </si>
  <si>
    <t>ARMAS DE FOGO | RIFLES</t>
  </si>
  <si>
    <t>ARMAS DE FOGO | ESCOPETAS</t>
  </si>
  <si>
    <t>ARMAS DE FOGO | LANÇA FOGUETES</t>
  </si>
  <si>
    <t>ARTES MARCIAIS | JUDÔ</t>
  </si>
  <si>
    <t>- Esta perícia representa uma habilidade geral em tombos e chaves e não uma escola específica de combate desarmado. Não é possível usar Judô se tiver alguma coisa nas mãos ou se sua Carga for maior do que Leve. Usando Judô, será possível aparar com qualquer uma das mãos como se ela fosse uma
arma, usando 2/3 de seu NH em Judô como seu Aparar. A chance de se machucar ao aparar uma arma com as mãos também é menor (v. pág. 101).
- Se conseguir aparar com sucesso, você poderá tentar derrubar aquele adversário em seu próximo turno, se ele estiver em um hexágono adjacente ao seu; isto é um ataque. Faça seu teste de Judô. Seu oponente poderá usar qualquer defesa ativa (ele pode aparar sua mão com uma espada). Se ele falhar em sua defesa, terá sido derrubado. Um resultado igual a 17 ou 18 em sua jogada de ataque significa que você foi derrubado. Note que num ataque total você não pode tentar 2 tombos, mas pode fazer uma tentativa com um bônus de +4. É possível também usar esta perícia para derrubar seu oponente se você o estiver Segurando (Combate de Perto, pág. 111); -5 se você estiver deitado no chão.
- Quando derrubar um adversário, ele cairá onde você desejar, num raio de 2 hexágonos a seu redor. Um destes hexágonos deverá ser o que ele ocupava antes, seu hexágono, ou qualquer hexágono adjacente a um destes. Ele deve fazer um teste de HT; uma falha significará que ele está atordoado. Se você o atirar contra alguém, aquela pessoa deverá conseguir um sucesso em uma jogada contra DX+3 ou ST+3 (o que for maior), para evitar ser derrubada.
- É possível também usar seu nível de habilidade em Judô ao invés de DX em qualquer teste de DX feito num Combate de Perto, exceto para sacar uma arma ou largar um escudo.</t>
  </si>
  <si>
    <t>ARTES MARCIAIS | CARATÊ</t>
  </si>
  <si>
    <t xml:space="preserve">
- Esta perícia não representa nenhuma escola específica de combate desarmado e sim uma habilidade geral com socos e chutes.
- Não existe penalidade para o uso da mão esquerda. Qualquer mão que venha a ser usada deverá estar vazia, e sua Carga deve ser Leve ou menos.
- É possível aparar com qualquer uma das mãos como se ela fosse uma arma, usando 2/3 de seu NH em Caratê como seu Aparar.
- Se for usado ofensivamente, o Caratê aumentará a quantidade de dano que você é capaz de provocar quando ataca sem armas. Faça um teste de Caratê para ver se o golpe atinge o alvo. (No caso de um chute, use um redutor de -2. Se errar o chute deverá fazer um teste de DX para ver se cai.) Deve-se adicionar 1/5 de seu NH em Caratê, arredondado para baixo, ao dano básico que você provoca com suas mãos ou pés. Aparar com as mãos vazias ainda lhe causará dano se você falhar (v. pág. 101).
- Nota : Apesar de ser capaz de quebrar tijolos em uma demonstração, você não será capaz de atravessar uma armadura com um soco e sair ileso. Faça um teste de HT toda vez que atingir um alvo com RD igual a 3 ou mais. Uma falha significa que sua mão ou pé recebeu um dano igual a 1d6-2. A Rijeza de seu oponente não conta como RD neste caso. Sua própria Rijeza (ou botas, etc...) o protegerá neste caso.</t>
  </si>
  <si>
    <t>FACA</t>
  </si>
  <si>
    <t xml:space="preserve">
- A perícia no uso, mas não no arremesso, de qualquer tipo de faca, adaga ou estilete.</t>
  </si>
  <si>
    <t>ARREMESSO DE FACA</t>
  </si>
  <si>
    <t xml:space="preserve">
- A habilidade de arremessar qualquer espécie de faca.</t>
  </si>
  <si>
    <t>LANÇA DE JUSTA</t>
  </si>
  <si>
    <t xml:space="preserve">
- LANÇA -3 SE MONTARIA | CAVALOS 12+
- DX -6</t>
  </si>
  <si>
    <t xml:space="preserve">
- Esta é a perícia no uso da lança de justa, uma arma parecida com uma lança normal, com um comprimento maior ou igual a 3,5 m, usada a cavalo.
- Não é comum aparar em um combate com lanças de justa; é preciso Bloquear ou se Esquivar dos ataques do inimigo.</t>
  </si>
  <si>
    <t>LAÇO</t>
  </si>
  <si>
    <t xml:space="preserve">
- Esta é a perícia no arremesso do laço ou reata.
- Ela é usada principalmente para laçar animais. 
- Pode-se tentar laçar uma parte específica do corpo, ou escolher uma aleatoriamente na Tabela de Partes do Corpo. Faça uma Disputa Rápida de ST, se o laço tiver prendido um braço ou o tronco do adversário. Se o laçador vencer, a vítima estará imobilizada, mas se ele perder, terá perdido a corda. Se a cabeça tiver sido laçada, a vítima estará submetida a um redutor de -5 na Disputa de ST. Se um pé tiver sido laçado, a vítima terá que ser bem sucedida em um teste de DX para permanecer em pé (DX - 4 se a vítima estava correndo quando foi laçada) e não haverá necessidade de disputa de ST. Se o teste de DX resultar em falha, a vítima sofrerá 1d6 - 4 pontos de dano devido à queda (1d-2 se a vítima estava correndo).
- Para manter a vítima imobilizada, é preciso que o laço fique sempre esticado. Você pode fazê-lo com as mãos, mas enquanto estiver ocupado com isto, não poderá fazer mais nada. Se um cavalo tiver sido treinado para manter o laço esticado (pág. 143), sua ST substituirá a do laçador na disputa.
- Um laço em redor do pescoço (redutor de -5 em um ser humano e -2 na maioria do gado), impedirá a vítima de respirar enquanto estiver esticado. Trate este caso como asfixia (pág. 122).
- Ninguém é capaz de escapar de um laço esticado sem cortar a corda. Escapar de uma laço bambo é o mesmo que de uma boleadeira.</t>
  </si>
  <si>
    <t>REDE</t>
  </si>
  <si>
    <t xml:space="preserve">
- Esta é a perícia no uso da rede como uma arma em uma luta.
- É possível se esquivar de uma rede, mas não bloquear nem aparar. 
- No caso de um arremesso bem sucedido, a vítima estará envolvida e incapaz de se mover ou atacar até a rede ser removida.
- Para remover uma rede você precisa de três sucessos, não necessariamente consecutivos, em testes de DX. Modificadores: - 4 quando se tem as duas mãos livres; -6 quando se tem uma só mão livre, ou no caso de animais. Se ocorrerem três falhas consecutivas, a vítima estará
tão embaraçada, que será necessário cortar a rede para libertá-la. 
- Uma rede para animais pesa 9 kg e pode ser arremessada a uma distância de (ST/2) metros mais 1/5 do NH com a rede (arredondado para baixo).
- Uma rede pequena pode ser usada como uma arma de combate com um alcance de 1 ou 2 hexágonos.
- Trate como um laço (acima), mas a vítima pode tentar se libertar como se fosse de boleadeira (acima). Uma rede de combate pesa 1,5 kg e pode ser arremessada a uma distância de (ST) metros mais 1/5 do nível de habilidade (arredondado para baixo).
- Todos os testes para se libertar de uma rede de combate têm um bônus de +3.</t>
  </si>
  <si>
    <t>ARMAS DE HASTE</t>
  </si>
  <si>
    <t xml:space="preserve">
- Perícia no uso de armas de haste muito longas e desbalanceadas, incluindo a acha d’armas, a alabarda, a bisarma e as centenas de variações do tipo.</t>
  </si>
  <si>
    <t>ESCUDO</t>
  </si>
  <si>
    <t xml:space="preserve">
- DX -4
- BROQUEL -2</t>
  </si>
  <si>
    <t xml:space="preserve">
- Esta é a perícia no uso de um escudo do tipo medieval ou daqueles usados pelas tropas de choque.
- Esta perícia é necessária para atacar com o Escudo.
- No entanto a defesa passiva oferecida pelo escudo (1 a 4 pontos) protege quem o carrega, mesmo que ele não saiba como usá-lo.
- A defesa ativa de um escudo (no Bloqueio) é 1/2 de seu NH com o Escudo. Logo, você será capaz de bloquear muito melhor se tiver estudado a perícia do que se usar seu nível pré-definido.
- O atributo DX de uma pessoa média é 10, ou seja o nível pré-definido de sua habilidade com o Escudo é 6 e seu Bloqueio será 3..</t>
  </si>
  <si>
    <t>ESPADAS CURTAS</t>
  </si>
  <si>
    <t xml:space="preserve">
- DX-5
- ESPADAS LONGAS-2</t>
  </si>
  <si>
    <t>Esta é a perícia no uso de qualquer tipo de arma balanceada com 60 a 100 cm de comprimento, incluindo o terçado, o gládio e o bastão.</t>
  </si>
  <si>
    <t>FUNDA</t>
  </si>
  <si>
    <t>Esta é a perícia no uso da funda ou fustíbalo.</t>
  </si>
  <si>
    <t>LANÇA</t>
  </si>
  <si>
    <t xml:space="preserve">
- DX -5
- BASTÃO -2</t>
  </si>
  <si>
    <t>Esta é a perícia no uso (mas não arremesso) de qualquer tipo de lança, dardo, tridente, baioneta, pique ou arma longa, leve e pontuda.</t>
  </si>
  <si>
    <t>ARREMESSO DE LANÇA</t>
  </si>
  <si>
    <t xml:space="preserve">
- Habilidade no arremesso de qualquer tipo de lança, dardo, etc.</t>
  </si>
  <si>
    <t>RAPIDEZ DE RECARGA | ARMAS DE PÓLVORA</t>
  </si>
  <si>
    <t>- Esta é a habilidade em carregar rapidamente uma arma de fogo.
- Não é a mesma coisa que Sacar Rápido, mas você poderia, usando as perícias certas, recarregar muito rapidamente sacando um municiador rápido ou um pente de seu cinto ou bolso e colocando na arma.
- Uma falha em uma tentativa de Rapidez de Recarga acrescentará ao tempo normal de carga aquele que seria economizado se a tentativa tivesse sido bem sucedida. Uma falha crítica derruba ou danifica a munição; o processo de carga deve ser iniciado novamente ou a munição tem que ser recuperada.
- Para algumas armas especiais o efeito de Rapidez de Recarga pode ser diferente conforme decisão do Mestre.</t>
  </si>
  <si>
    <t>RAPIDEZ DE RECARGA | PISTOLAS</t>
  </si>
  <si>
    <t>RAPIDEZ DE RECARGA | REVÓLVERES</t>
  </si>
  <si>
    <t>RAPIDEZ DE RECARGA | SUBMETRALHADORAS</t>
  </si>
  <si>
    <t>RAPIDEZ DE RECARGA | METRALHADORAS</t>
  </si>
  <si>
    <t>RAPIDEZ DE RECARGA | RIFLES</t>
  </si>
  <si>
    <t>RAPIDEZ DE RECARGA | ESCOPETAS</t>
  </si>
  <si>
    <t>RAPIDEZ DE RECARGA | LANÇA FOGUETES</t>
  </si>
  <si>
    <t>BASTÃO</t>
  </si>
  <si>
    <t xml:space="preserve">
- DX -5
- LANÇA -2</t>
  </si>
  <si>
    <t xml:space="preserve">
- Esta é a perícia no uso do Bastão ou de qualquer haste ou vara improvisada como Bastão. Este é um tipo de arma empunhada com as duas mãos. Seu Aparar será 2/3 de seu nível de habilidade.</t>
  </si>
  <si>
    <t>MACHADO/MAÇA DE DUAS MÃOS</t>
  </si>
  <si>
    <t xml:space="preserve">
- Habilidade na utilização de qualquer arma longa, pesada e não balanceada como, por exemplo, o machado de batalha ou a marreta.</t>
  </si>
  <si>
    <t>ESPADAS DE DUAS MÃOS</t>
  </si>
  <si>
    <t xml:space="preserve">
- Esta é a perícia no manuseio de uma arma de lâmina longa (1,5m a 2m) com as duas mãos.</t>
  </si>
  <si>
    <t>CHICOTE</t>
  </si>
  <si>
    <t xml:space="preserve"> </t>
  </si>
  <si>
    <t xml:space="preserve">
- Esta é a habilidade em usar um chicote como uma arma. Existem chicotes de vários comprimentos. Em termos de jogo, um chicote com 1 m de comprimento tem um alcance de 1 m. O tempo necessário para re-preparar um chicote depende de
seu comprimento: 0 turnos para um chicote de 1 m; 1 turno para um chicote de 2 m; 2 turnos para um chicote de 3 m ou mais. Os chicotes podem ter até 6 m de comprimento. É impossível atingir um alvo a 1 m de distância, ou menos, com um chicote de 2 m de comprimento.
- Um chicote é uma arma muito ruim para aparar; seu Aparar será igual a 1/3 de seu NH como arma, arredondado para baixo.
- É possível estalar o chicote (o barulho é provocado pela ponta ao romper a barreira do som). Se você conseguir fazer o chicote estalar exatamente no instante em que atinge o alvo, ele provocará 2 pontos a mais de dano, mas isto é feito com um redutor de - 4 em seu NH.
- As chicotadas são muito doloridas. Um personagem que sofra mais de 1 ponto de dano na mão ou braço de um chicote deverá fazer um teste de Vontade com um redutor igual ao dano recebido. Uma falha significará que ele largou qualquer coisa que estivesse trazendo na mão.
- É possível atingir a arma de um adversário com um chicote (com o redutor normal devido ao tamanho da arma). Se o golpe foi certeiro, será necessário fazer uma Disputa de ST, com um bônus de +1 para o personagem que tem o chicote, devido à alavanca. Se ele vencer, terá arrancado a arma da mão do adversário. Um sucesso decisivo na primeira jogada produz o mesmo resultado.
- Um chicote pode ser usado para tentar estrangular (redutor de - 4) a vítima, do mesmo modo que um laço. Isto não provoca dano, mas (no caso de sucesso) deveremos seguir as regras de laço.</t>
  </si>
  <si>
    <t>ARMEIRO | ARMAS DE MÃO</t>
  </si>
  <si>
    <t>Perícias Artesanais</t>
  </si>
  <si>
    <t xml:space="preserve">
- IQ -5
- NH com Armas -6
- Ferreiro -3 (NT &lt;=4)</t>
  </si>
  <si>
    <t xml:space="preserve">
- Esta é a habilidade na construção e conserto de armas e armaduras no nível tecnológico apropriado. É necessário um sucesso em um teste para descobrir qual o problema com a arma (a menos que ele seja óbvio). Um segundo sucesso permitirá que o personagem a conserte. O Mestre deve
determinar um período de tempo razoável para cada tentativa de conserto.
- Modificadores: -4 se a arma não for familiar; -4 se não tiver as ferramentas apropriadas (-5 em NT 9+).</t>
  </si>
  <si>
    <t>ARMEIRO | ARMADURAS</t>
  </si>
  <si>
    <t>ARMEIRO | ARCOS E FLECHAS</t>
  </si>
  <si>
    <t>ARMEIRO | ARMAS DE CERCO</t>
  </si>
  <si>
    <t>ARMEIRO | ARMAS DE PÓLVORA</t>
  </si>
  <si>
    <t>ARMEIRO | ARMAS DE FOGO</t>
  </si>
  <si>
    <t>FERREIRO</t>
  </si>
  <si>
    <t xml:space="preserve">
- IQ -5
- JOALHEIRO -4</t>
  </si>
  <si>
    <t xml:space="preserve">
- Esta é a habilidade de trabalhar manualmente com ferro e outros metais não-preciosos.
- Para este trabalho é necessário uma forja, mas dispondo do material adequado, um ferreiro é capaz de construir uma em mais ou menos 30 dias.
- Modificador: -1 para cada ponto de ST abaixo de 13.</t>
  </si>
  <si>
    <t>CARPINTARIA</t>
  </si>
  <si>
    <t xml:space="preserve">
- IQ -4
- DX -4</t>
  </si>
  <si>
    <t xml:space="preserve">
- Esta é a perícia na fabricação de objetos de madeira.
- Um sucesso em uma jogada de teste permite a realização de uma hora de trabalho competente de carpintaria. Uma falha significa que o resultado do trabalho foi ruim. 
- Modificadores: +5 se você estiver sendo supervisionado ou assistido por alguém com NH 15+; -5 se não tiver boas ferramentas.</t>
  </si>
  <si>
    <t>CULINÁRIA</t>
  </si>
  <si>
    <t xml:space="preserve">
- IQ -4</t>
  </si>
  <si>
    <t xml:space="preserve">
- Esta é a habilidade no preparo de uma refeição agradável, a partir da matéria prima (não apenas água, calor e lataria).
- Em qualquer sociedade “ao ar livre”, esta perícia incluirá a habilidade de limpar a caça, ou seja, preparar um animal recém abatido para o cozimento.</t>
  </si>
  <si>
    <t>JOALHEIRO</t>
  </si>
  <si>
    <t xml:space="preserve">
- IQ -6
- FERREIRO -4</t>
  </si>
  <si>
    <t xml:space="preserve">
- Esta é a habilidade no trabalho com metais preciosos de todos os tipos, fabricação de jóias, decoração de armas e assim por diante.
- É necessário uma forja (veja Ferreiro, acima) para trabalhar o metal.
- Um joalheiro é capaz de identificar qualquer metal precioso, ou determinar o valor de qualquer bugiganga preciosa, se conseguir um sucesso em um teste de habilidade.</t>
  </si>
  <si>
    <t>TRABALHOS EM COURO</t>
  </si>
  <si>
    <t xml:space="preserve">
- IQ -4
- DX -5</t>
  </si>
  <si>
    <t xml:space="preserve">
- Esta é a perícia em se trabalhar com couro para fazer cintos, selas, armaduras, etc...
- Alguém que tenha esta perícia será capaz de fabricar objetos novos ou consertar usados.
- Com um sucesso em um teste de habilidade, ele é capaz de determinar o valor de um objeto de couro.</t>
  </si>
  <si>
    <t>MECÂNICA | CARROÇÕES</t>
  </si>
  <si>
    <t xml:space="preserve">
- IQ -5
- ENGENHARIA -4</t>
  </si>
  <si>
    <t xml:space="preserve">
- Esta é a habilidade em diagnosticar e resolver problemas mecânicos comuns, geralmente, mas nem sempre, no motor de um veículo.
- Um sucesso em um teste de habilidade é suficiente para detectar um problema e um segundo sucesso para repará-lo. Modificadores: -5 se o equipamento adequado não estiver disponível; -2 no caso de um veículo, motor, etc., com o qual não se está familiarizado; - 4 ou mais quando se tratar de uma máquina de um tipo com o qual não se está familiarizado. Todos os modificadores normais para diferenças de nível tecnológico também devem ser aplicados (v. pág. 185).
- Se você deseja aprender esta perícia para dois ou mais tipos de máquina, comece a aprender o segundo tipo com nível pré-definido a partir do primeiro, normalmente reduzido em 4 pontos (consulte o Mestre).</t>
  </si>
  <si>
    <t>MECÂNICA | MECANISMOS COM ENGRENAGENS</t>
  </si>
  <si>
    <t>MECÂNICA | MÁQUINAS A VAPOR</t>
  </si>
  <si>
    <t>MECÂNICA | MOTORES A COMBUSTÃO</t>
  </si>
  <si>
    <t>MECÂNICA | MOTORES ELÉTRICOS</t>
  </si>
  <si>
    <t>MECÂNICA | NÚCLEOS MÁGICOS</t>
  </si>
  <si>
    <t>CERÂMICA</t>
  </si>
  <si>
    <t xml:space="preserve">
- Esta é a perícia no trabalho com vários tipos de cerâmica. Um oleiro é capaz de fazer potes e outros utensílios de argila.
- Com um sucesso em um teste de habilidade, ele será capaz de identificar a argila apropriada (para tijolos ou utensílios domésticos); determinar a origem ou o valor de um objeto de cerâmica; etc...</t>
  </si>
  <si>
    <t>MARCENARIA</t>
  </si>
  <si>
    <t xml:space="preserve">
- DX -5
- CARPINTARIA -3</t>
  </si>
  <si>
    <t xml:space="preserve">
- Esta é a perícia na execução de trabalhos “finos” em madeira; construção de móveis, entalhes decorativos, etc.
- Com um sucesso em um teste de habilidade, um marceneiro é capaz de determinar a origem e o valor justo de um entalhe em madeira, ou identificar o tipo de madeira usado.</t>
  </si>
  <si>
    <t>MÍMICA/PANTOMIMA</t>
  </si>
  <si>
    <t>Perícias com Línguas</t>
  </si>
  <si>
    <t xml:space="preserve">
- IQ -4
- LINGUAGEM DE SINAIS</t>
  </si>
  <si>
    <t xml:space="preserve">
- Esta é a habilidade de se comunicar através de simples sinais improvisados com as mãos.
- Indivíduos surdos e/ou mudos têm um bônus de +3 no uso desta perícia.
- Um sucesso em um teste de Mímica/Pantomima permitir-lhe-á comunicar uma idéia simples para uma outra pessoa, ou entender uma comunicada por outrem.
- Gestos simples não são apropriados para mensagens complexas.
-Culturas diferentes desenvolvem vocabulários de gestos diferentes; ocidentais tentando se comunicar com japoneses, por exemplo, estarão submetidos a um redutor de -4.
- No caso de seres humanos tentando se comunicar com alienígenas ou espécies não-humanas, a linguagem dos gestos é quase impossível, mas os jogadores podem tentar.</t>
  </si>
  <si>
    <t>LINGUAGEM DE SINAIS</t>
  </si>
  <si>
    <t xml:space="preserve">
- Esta é qualquer uma das verdadeiras linguagens de gestos.
- Uma das mais conhecidas é a American Sign Language (Ameslan). Outros exemplos poderiam ser a língua de uma raça alienígena sem fala, um código de sinais usado por espiões ou revolucionários, etc.
- Uma linguagem de sinais é complexa, estilizada e pode comunicar praticamente qualquer conceito.
- O conhecimento de uma linguagem de sinais não implica no entendimento das outras, mas você será capaz de perceber que algum tipo de linguagem está sendo usado, se for bem sucedido em um teste de IQ. 
- Indivíduos mudos e/ou surdos receberão um bônus de +3 em testes de Linguagem de Sinais.</t>
  </si>
  <si>
    <t>TELEGRAFIA</t>
  </si>
  <si>
    <t xml:space="preserve">
- Esta é a habilidade de enviar e receber em código Morse, realizar pequenos reparos em sistemas de telegrafia e reconhecer outros operadores de telégrafo pela sua “caligrafia”, i.e., a sua maneira característica de enviar uma mensagem.
- Esta perícia é encontrada normalmente entre os níveis tecnológicos 5 e 7. A partir do nível 8, os seres humanos raramente enviam (eles mesmos) mensagens em código. Eles usam um computador para isto.
- Em NT5, um telegrafista é capaz de enviar ou receber 2 palavras por minuto para cada ponto de seu nível de habilidade. Em NT 6+, com um manipulador semi-automático, a velocidade cresce para 3 pal/min, por ponto de habilidade.
- No entanto, esta perícia se desenvolve vagarosamente, mesmo para pessoas inteligentes, e a taxa efetiva com que você está recebendo ou transmitindo não pode exceder o número de semanas que se passaram desde o momento em que você adquiriu a perícia.
- Um operador pode tentar enviar ou receber mensagens numa velocidade maior do que seu NH permitiria normalmente, submetendo-se a um redutor de -2 para cada 2 pal/min adicionais (NT5) ou 3 pal/min (NT6+).
- A taxa máxima em NT5 é 25 pal/min,enquanto que em NT6+ é 75.
- O envio e recepção de mensagens em código, ao invés de português (ou outra língua conhecida), está submetido a um redutor de - 4.
- O envio e recepção de mensagens em outras línguas está submetido a um redutor de -1, para cada ponto de diferença entre o NH do operador com a língua e 10, até um redutor máximo de - 4.</t>
  </si>
  <si>
    <t>DIAGNOSE</t>
  </si>
  <si>
    <t>Perícias Médicas</t>
  </si>
  <si>
    <t xml:space="preserve">
- IQ -6
- PRIMEIROS SOCORROS -8
- VETERINÁRIA -5
- MEDICINA -4</t>
  </si>
  <si>
    <t xml:space="preserve">
- Esta é a habilidade em dizer o que está errado com uma pessoa doente ou ferida, ou o que matou uma pessoa.
- Um sucesso em um teste de habilidade trará alguma informação sobre o problema do paciente (limitado realisticamente ao conhecimento que se poderia obter no nível tecnólogico do personagem - veja págs. 181 a 185). 
- Ela pode não determinar exatamente qual o problema (se o Mestre achar que a causa da doença está completamente além da experiência do médico, por exemplo), mas sempre trará pistas, determinará impossibilidades, etc.
- Modificadores: -5 para lesões internas; -5 para o caso de uma doença rara; + 1/2 NT se o equipamento daquele NT estiver disponível.
- Note que o teste de Diagnose deverá ser exigido mesmo para casos óbvios, como ferimentos abertos e membros decepados.</t>
  </si>
  <si>
    <t>PRIMEIROS SOCORROS</t>
  </si>
  <si>
    <t xml:space="preserve">
- IQ -5
- VETERINÁRIA -5
- FISIOLOGIA -5
- MEDICINA</t>
  </si>
  <si>
    <t xml:space="preserve">
- Esta é a habilidade de fazer um curativo rápido num ferimento no campo (v. pág. 127).
- Um sucesso em um teste de habilidade estancará uma hemorragia, neutralizará total ou parcialmente um veneno, fará respiração artificial em uma vítima de afogamento, etc.
-Se o problema for incomum, ele deverá ser antes identificado através da Diagnose.
- Modificadores: +1 ou mais no caso de ter equipamento de primeiros socorros ou outros recursos.</t>
  </si>
  <si>
    <t>HIPNOTISMO</t>
  </si>
  <si>
    <t xml:space="preserve">
- Esta é a perícia em afetar a mente de uma outra pessoa através de meios mecânicos ou verbais. Uma vez hipnotizado, um indivíduo se torna extremamente sugestionável. Faça uma Disputa entre o NH em Hipnotismo vs. a Vontade da vítima-1, para cada ordem que for dada. Todas as ordens que puserem em risco a vida da vítima ou de pessoas amadas serão resistidas com um bônus de +4 à sua Vontade. Os efeitos do hipnotismo duram 1d6 horas, a menos que sejam suspensos antes pela pessoa que executou a hipnose.
- Sugestões pós-hipnóticas podem também ser dadas, instruindo a vítima a fazer alguma coisa muito mais tarde. Normalmente será adicionado um bônus de +1 à Vontade da vítima para cada semana de intervalo.
- O Hipnotismo pode se tornar mais eficiente com o uso de Telepatia (bônus de +2 no teste de Hipnotismo, se o teste de Telepatia foi um sucesso. Uma tentativa apenas.). Um sucesso em um teste de Hipnotismo causará a queda automática de todas as defesas da mente da vítima. A primeira tentativa de hipnotismo leva 5 segundos. Se ela falhar e o paciente for cooperativo, a segunda tentativa poderá ser feita com um redutor de -5 e levará 5 minutos. Se ela falhar, o paciente estará opondo resistência e não poderá ser hipnotizado naquele dia. É claro que alguém que não esteja familiarizado com hipnotismo não saberá exatamente o que foi tentado, mas poderá suspeitar de feitiçaria. Se um paciente resistir deliberadamente ao hipnotismo, será necessário fazer uma disputa entre o NH do hipnotizador e a Vontade do Paciente (com um bônus de +3).
- Um sucesso em um teste de Hipnotismo dá um bônus de +2 para qualquer uso da perícia Cirurgia por ser um anestésico rápido e seguro. Um passe hipnótico bem sucedido também pode pôr o paciente a dormir; logo, ele pode ser usado como um ataque, embora apenas contra uma pessoa por vez. Um sucesso em um teste de Hipnotismo pode também ajudar o paciente a lembrar-se de algo que ele havia esquecido.</t>
  </si>
  <si>
    <t>MEDICINA</t>
  </si>
  <si>
    <t xml:space="preserve">
- IQ -7
- VETERINÁRIA -5
- PRIMEIROS SOCORROS -11</t>
  </si>
  <si>
    <t xml:space="preserve">
- Esta é a habilidade profissional genérica de socorrer doentes, prescrever medicamentos e tratamentos, etc.
- Quando um Mestre exigir um teste de Competência ou do conhecimento médico geral, ele será feito contra esta perícia. 
- Um médico tem a opção de adotar uma especialização.
- Em sociedades com NT 4 e abaixo, a Medicina inclui a capacidade de encontrar ervas medicinais silvestres. Se você estiver em território conhecido, um sucesso neste teste sempre indicará a descoberta de algum tipo de planta medicinal (quanto melhor o resultado, maior será a utilidade das plantas encontradas). Obviamente, alguém que tenha esta perícia será também capaz de encontrar plantas comestíveis e identificar as venenosas.
- Em NT 5+, o conhecimento sobre drogas torna-se “cultura livresca”. Um médico de alto nível tecnológico saberá bastante sobre elas, mas não será capaz de encontrar drogas úteis na natureza. Exceção: Se o médico tiver a perícia Naturalista num nível 20+, ele poderá agir também como um médico “primitivo”.
- Modificadores: -5 para identificar uma droga sem os recursos de um laboratório; +3 se o médico correr o risco de cheirar/experimentar a substância.</t>
  </si>
  <si>
    <t>CIRURGIA</t>
  </si>
  <si>
    <t xml:space="preserve">
- VETERINÁRIA -5
- MEDICINA -5
- FISIOLOGIA -8
- PRIMEIROS SOCORROS -12</t>
  </si>
  <si>
    <t xml:space="preserve">
- Esta perícia é usada quando alguém tenta operar um personagem para curar doenças, ferimentos ou disfunções do organismo. Um cirurgião pode, opcionalmente, se especializar em uma determinada parte do organismo.
- Um sucesso em uma jogada de teste significará que a operação transcorreu sem complicações. Uma falha significa que o paciente sofreu algum dano (2d6 para amputações simples, 3d6 para tentativas mais complexas).
- Modificadores: -2 se o equipamento apropriado (no mínimo a maleta do médico) não estiver disponível; -3 para cirurgias na cabeça ou tórax; -5 para problemas não-diagnosticados; -3 ou pior se a área ou o equipamento não puderem ser devidamente limpos e esterilizados.</t>
  </si>
  <si>
    <t>ESCALADA</t>
  </si>
  <si>
    <t>Perícias Externas</t>
  </si>
  <si>
    <t xml:space="preserve">
- DX -5
- ST -5</t>
  </si>
  <si>
    <t xml:space="preserve">
- Esta é a habilidade em escalar montanhas, muros de pedra, árvores, paredes de edifícios e qualquer outra coisa que apareça em seu caminho.
- Modificadores: +3 se você tiver a vantagem de ter Ultra-flexibilidade das Juntas; menos seu nível de Carga. As escaladas são discutidas com detalhes na pág. 89.</t>
  </si>
  <si>
    <t>PESCARIA</t>
  </si>
  <si>
    <t xml:space="preserve">
- Esta é a habilidade em pegar um peixe (com uma rede, anzol e linha ou qualquer outro método usado pela sua cultura).
 - Se você tiver o equipamento apropriado e peixes para serem apanhados, um sucesso em um teste de habilidade os trará a você.
- Quando não há material de pesca à disposição, pode-se improvisar.
- Modificadores: -2 ou pior, dependendo das circunstâncias, devido a um equipamento inadequado (fisgar um tubarão com um alfinete entortado é muito difícil).</t>
  </si>
  <si>
    <t>NATURALISTA</t>
  </si>
  <si>
    <t xml:space="preserve">
- Esta perícia compreende o conhecimento dos animais, das plantas e da natureza em suas várias formas.
-É o tipo de conhecimento que se esperaria de um bom professor de biologia do século XX.
- Um sucesso em um teste de habilidade permitirá a identificação de uma planta e sua aplicação, ou lhe dirá algo sobre um animal e seus hábitos.
- Modificadores: +3 se estiver em território conhecido; até -5 se estiver num ambiente muito estranho.</t>
  </si>
  <si>
    <t>NAVEGAÇÃO</t>
  </si>
  <si>
    <t xml:space="preserve">
- ASTRONOMIA -5
- MARINHAGEM -5</t>
  </si>
  <si>
    <t xml:space="preserve">
- Esta é a habilidade em saber qual a sua posição (na Terra e não no espaço) pelas estrelas, correntes oceânicas, etc.
- Um sucesso em um teste de habilidade dirá onde você está, no mar ou em terra.
- Note que, se você não tiver a perícia e estiver tentando um teste com o nível pré-definido, você não poderá usar seu NH em Marinhagem se não estiver de fato no mar!
- Obs.: Se você tem esta perícia, seu nível de habilidade não será afetado por um NT mais baixo.
- Modificadores: -3 se estiver em terra (não existem correntes marítima para orientá-lo); -3 se estiver em uma parte totalmente nova do oceano (as correntes serão novidade para você); - 4 se não tiver os instrumentos adequados para seu NT, sejam eles bússola-e-sextante ou nauscópio-e-bússola marítima; -5 (sem uso do valor pré-definido para Astronomia) se o tempo estiver ruim e as estrelas escondidas; -5 em um mundo completamente novo (as estrelas são diferentes); + 3 se tiver Senso de Direção.</t>
  </si>
  <si>
    <t>MARINHAGEM</t>
  </si>
  <si>
    <t xml:space="preserve">
- Esta é a capacidade de tripular uma nave de longo-curso.
- Você precisará tripular um navio (ou capitaneá-lo!).
- Modificadores: os redutores padrão relacionados com o NT (v. pág. 185).</t>
  </si>
  <si>
    <t>SOBREVIVÊNCIA | DESERTO</t>
  </si>
  <si>
    <t xml:space="preserve">
- IQ -5
- NATURALISTA -3
- DEMAIS SOBREVIVÊNCIA -3</t>
  </si>
  <si>
    <t xml:space="preserve">
- Esta é a perícia em “viver da terra”, encontrar água e comida de boa qualidade, evitar os perigos, construir abrigos, etc...
- Um teste bem sucedido por dia garante uma vida segura (se não confortável) em uma região inculta. Uma pessoa com esta perícia é capaz de cuidar de até 10 outras. Uma falha significa que cada membro do grupo perdeu 1d6 pontos de vida.
- Modificadores: -2 num continente ou planeta desconhecido; até -5 sob condições climáticas extremas; -5 se estiver completamente sem equipamento.
- Com esta perícia se adquire um “olho clínico” que pode ser usado para descobrir a melhor direção a seguir, encontrar água corrente, uma passagem entre as montanhas ou qualquer outra característica desejada do terreno (supondo que ela exista).
- Esta é também a perícia usada para preparar armadilhas para animais silvestres (um ladrão criado na cidade poderia usar sua habilidade com Armadilhas, mas ele está acostumado a um tipo de “caça” diferente e por isso teria um redutor de -5). Faça um teste para cada armadilha preparada.
- São necessários 30 minutos para improvisar uma armadilha com material comum ou 10 minutos para armar e esconder uma armadilha comercial de aço.
- Naturalmente, você precisaria de horas para cavar um fojo para caça graúda.</t>
  </si>
  <si>
    <t>SOBREVIVÊNCIA | PLANÍCIE</t>
  </si>
  <si>
    <t>SOBREVIVÊNCIA | ÁRTICO</t>
  </si>
  <si>
    <t>SOBREVIVÊNCIA | MONTANHA</t>
  </si>
  <si>
    <t>SOBREVIVÊNCIA | FLORESTA</t>
  </si>
  <si>
    <t>SOBREVIVÊNCIA | SELVA</t>
  </si>
  <si>
    <t>SOBREVIVÊNCIA | ILHA LITORAL</t>
  </si>
  <si>
    <t>SOBREVIVÊNCIA | PANTÂNO</t>
  </si>
  <si>
    <t>SOBREVIVÊNCIA | RADIOTIVO</t>
  </si>
  <si>
    <t>RASTREAMENTO</t>
  </si>
  <si>
    <t xml:space="preserve">
- IQ -5
- NATURALISTA -5</t>
  </si>
  <si>
    <t xml:space="preserve">
- Esta é a habilidade em seguir o rastro deixado por um homem ou animal.
- Faça um teste de Rastreamento para achar uma pista e mais um a cada 5 minutos de viagem. 
- Modificadores: -5 se a pista tiver mais de uma dia; -10 se tiver mais de uma semana; +5 se estiver seguindo um homem; +10 se estiver seguindo um grupo de homens.
- O terreno também influi (exemplos: -3 no deserto; -5 sobre terreno rochoso; -10 nas ruas de uma cidade. Todos os bônus de Visão devem ser levados em conta.).
- Esta perícia é usada também se você desejar apagar seu rastro (lembre-se que seu tempo de viagem será dobrado se você estiver fazendo isto). Um sucesso em um teste de habilidade indica que você fez um trabalho bom o suficiente para que sua trilha não seja encontrada por ninguém a não ser alguém com esta perícia. Se você estiver sendo seguido por um outro rastreador, o Mestre fará uma disputa entre o seu NH e o dele, usando os modificadores expostos acima. Será feito um teste para cada quilômetro de viagem. Se em algum momento o rastreador perder uma disputa, ele terá perdido a pista.
- Use sua Furtividade (pág. 67) para perseguir um animal depois de ter encontrado sua pista.</t>
  </si>
  <si>
    <t>CONTABILIDADE</t>
  </si>
  <si>
    <t>Perícias Profissionais</t>
  </si>
  <si>
    <t xml:space="preserve">
- IQ -10
- COMÉRCIO -5
- MATEMÁTICA -5</t>
  </si>
  <si>
    <t xml:space="preserve">
- Esta é a capacidade de manter atualizados os livros de uma empresa, examinar as condições de um negócio, etc., sendo útil principalmente como um meio de conseguir um emprego. No entanto, um sucesso num teste de Contabilidade (que exigirá mais ou menos 2 horas de estudo) poderá lhe dizer se os registros de uma empresa estão corretos (o que pode ser importante de vez em quando). 
- Modificadores: -5 se você só puder dar uma olhada apressada nos números; +5 se você tiver o dia todo; + 5 se você tiver a vantagem Talento para Matemática.</t>
  </si>
  <si>
    <t>ALFABETIZADO</t>
  </si>
  <si>
    <t>OPERAÇÃO DE APARELHOS ELETRÔNICOS | COMUNICAÇÕES</t>
  </si>
  <si>
    <t xml:space="preserve">
- IQ -5
- ELETRÔNICA ADEQUADA -3</t>
  </si>
  <si>
    <t xml:space="preserve">
- Esta perícia permite a utilização de equipamento eletrônico dentro de uma especialidade conhecida. Não há necessidade de testes de habilidade para a utilização normal diária do equipamento.
- Eles são necessários apenas nas situações de emergência, nos casos de uso “anormal” do equipamento ou na utilização de equipamentos complexos por pessoas inexperientes.
- Um teste bem sucedido permitirá também que se conserte um equipamento de um tipo conhecido. O tempo necessário para cada tentativa fica por conta do Mestre.
- Modificadores: -2 se os esquemas não estiverem disponíveis; -5 sem as ferramentas apropriadas; -4 quando estiver trabalhando fora de sua especialidade.
- Nota: Os motores elétricos são cobertos pela perícia Mecânica e não pela Eletrônica.</t>
  </si>
  <si>
    <t>OPERAÇÃO DE APARELHOS ELETRÔNICOS | COMPUTADORES</t>
  </si>
  <si>
    <t>OPERAÇÃO DE APARELHOS ELETRÔNICOS | SISTEMA DE SEGURANÇA</t>
  </si>
  <si>
    <t>OPERAÇÃO DE APARELHOS ELETRÔNICOS | ARMAS</t>
  </si>
  <si>
    <t>OPERAÇÃO DE COMPUTADORES</t>
  </si>
  <si>
    <t xml:space="preserve">
- Esta é a capacidade de operar um computador, extrair dados, executar programas já existentes, jogar video-games, etc... Isto não é a mesma coisa que programação (que é uma perícia à parte e mais difícil).
- Modificadores: -3 ou mais no caso de um computador ou um programa estranhos.
- Esta perícia está disponível apenas em NT 7+.
- Personagens oriundos de NTs mais baixos não podem usar esta perícia como condicionada, a menos que tenham tido tempo para se familiarizar com os computadores.</t>
  </si>
  <si>
    <t>HERÁLDICA</t>
  </si>
  <si>
    <t xml:space="preserve">
- IQ -5
- TRATO SOCIAL -3
</t>
  </si>
  <si>
    <t xml:space="preserve">
- Esta é a perícia em projetar e reconhecer escudos de armas, cores e divisas de um clã e outros emblemas.
- Se tiver sucesso em um teste de habilidade, um heráldico será capaz de reconhecer um cavaleiro ou um nobre pelo estandarte ou escudo que está sendo conduzido e descrevê-los apropriadamente em termos de heráldica.
- Poderá também criar brasões dignos e atraentes para novos nobres (sem conflitar com os padrões existentes).
- A heráldica é também importante em cenários de ficção científica.
Os testes de Heráldica terão modificadores baseados no fato de o padrão ser bem conhecido (até +5), raro (-1 ou pior) ou oriundo de um país completamente estranho para o heráldico (no mínimo -5).</t>
  </si>
  <si>
    <t>JURISPRUDÊNCIA</t>
  </si>
  <si>
    <t xml:space="preserve">
- Modificadores: +4 se o personagem estiver lidando com a Jurisprudência de uma área específica. Um sucesso em um teste de habilidade permitir-lhe-á lembrar, deduzir ou conceber uma resposta para uma pergunta sobre a lei.
- Lembre-se, no entanto, que poucas perguntas legais têm uma resposta precisa (até mesmo um especialista será vago ou ambíguo em seus conselhos).
- Muitos advogados se especializam numa área particular (exs.: marcas e patentes, contratos, defesa criminal).
- O Mestre poderá exigir um teste de habilidade caso você (ou seu cliente) acabe num tribunal.
- A jogada dependerá muito do sistema legal de seu universo ficcional. Em alguns cenários, ser um advogado é uma ofensa grave ...</t>
  </si>
  <si>
    <t>AGRONOMIA</t>
  </si>
  <si>
    <t>Perícias Científicas</t>
  </si>
  <si>
    <t xml:space="preserve">
- Esta é a ciência do cultivo de vegetais.
- Um agrônomo poderia responder a perguntas ou resolver problemas relacionados com a agricultura e a pecuária. Um fazendeiro experiente é um agrônomo, quer ele conheça a palavra, quer não.</t>
  </si>
  <si>
    <t>ALQUIMIA</t>
  </si>
  <si>
    <t xml:space="preserve">
- Esta é a ciência das transmutações mágicas. Ela é coberta em detalhes em sua própria página.</t>
  </si>
  <si>
    <t>ANTROPOLOGIA</t>
  </si>
  <si>
    <t xml:space="preserve">
- Este é o estudo da cultura e evolução da humanidade. Um antropólogo conhece os costumes dos grupos primitivos (e não-tão-primitivos) de seres humanos (ou de outras criaturas inteligentes que eles estudem).
- Os testes de Antropologia poderiam ser usados para explicar, ou até predizer, os rituais e costumes estranhos que um viajante poderia encontrar.</t>
  </si>
  <si>
    <t>ARQUEOLOGIA</t>
  </si>
  <si>
    <t xml:space="preserve">
- Este é o estudo das civilizações antigas. Um arqueólogo se sente em casa com escavações, cacos de louça de barro, inscrições, etc.
- No caso de um sucesso em um teste de habilidade, um arqueólogo é capaz de responder perguntas sobre história antiga, identificar artefatos e línguas mortas, etc.
- Às vezes um arqueólogo terá informações relacionadas com o ocultismo (ex.: Segredos Antigos e Coisas que Não Estão Destinadas ao Conhecimento Humano).</t>
  </si>
  <si>
    <t>ARQUITETURA</t>
  </si>
  <si>
    <t xml:space="preserve">
- Esta é a perícia no projeto de edifícios e a inferência da forma dos edifícios a partir de sua função e vice-versa.
- Um sucesso em um teste de Arquitetura lhe permitiria tirar conclusões sobre um edifício desconhecido, encontrar um aposento ou passagem secreta, etc.
- Modificadores: -2 se o edifício for de um tipo desconhecido; -5 se for alienígena.</t>
  </si>
  <si>
    <t>ASTRONOMIA</t>
  </si>
  <si>
    <t xml:space="preserve">
- Este é o estudo das estrelas e outros corpos siderais.
- Um astrônomo seria capaz de resolver problemas relacionados com o Sol, os planetas do sistema solar, meteoritos e assim por diante.
- Em NT 4 e abaixo, esta perícia se confunde com a Astrologia, combinando o conhecimento das estrelas e constelações com uma grande quantidade de mitologia e previsão do futuro.</t>
  </si>
  <si>
    <t>BIOQUÍMICA</t>
  </si>
  <si>
    <t xml:space="preserve">
- QUÍMICA -5</t>
  </si>
  <si>
    <t>Este é o estudo da química dos seres vivos. Um bioquímico é um especialista nas reações químicas que sustentam a vida.</t>
  </si>
  <si>
    <t>QUÍMICA</t>
  </si>
  <si>
    <t>BOTÂNICA</t>
  </si>
  <si>
    <t xml:space="preserve">
- IQ -6
- AGRONOMIA -5</t>
  </si>
  <si>
    <t xml:space="preserve">
- Este é o estudo das plantas. Um botânico seria capaz de identificar plantas, fazer suposições quanto ao habitat e propriedades de uma planta desconhecida, etc...</t>
  </si>
  <si>
    <t xml:space="preserve">
- Este é o estudo da matéria. Um químico seria capaz de identificar os elementos, compostos simples (não necessariamente medicamentos ou substâncias mágicas, etc.). De posse do equipamento adequado ele seria capaz de realizar análises e sínteses complexas.</t>
  </si>
  <si>
    <t>PROGRAMAÇÃO DE COMPUTADORES</t>
  </si>
  <si>
    <t xml:space="preserve">
- Esta é a habilidade de escrever e depurar programas de computador.
- Um sucesso em um teste de habilidade (entre outras coisas) permitir-lhe-ia descobrir um “bug” em um programa; descobrir qual o objetivo do programa a partir de uma listagem; resolver problemas relacionados com computadores ou programação de computadores e, tendo tempo suficiente, escrever programas novos.
- O tempo necessário varia muito.
- Modificadores: -5  se o personagem estiver com pressa (a critério do Mestre); +5 se ele tiver tempo à vontade; -5 ou pior se o programa for escrito numa linguagem desconhecida.</t>
  </si>
  <si>
    <t>CRIMINOLOGIA</t>
  </si>
  <si>
    <t xml:space="preserve">
- Este é o estudo do crime e da mente criminosa. Um criminologista usaria sua perícia para encontrar e interpretar pistas, fazer suposições quanto ao comportamento dos criminosos, etc.
-Apesar desta perícia não usar o NH em Manha como nível pré-definido, o Mestre poderá permitir sua substituição por um teste de sua perícia Manha em certas situações, principalmente quando se tratar de adivinhar as intenções de um criminoso.</t>
  </si>
  <si>
    <t>ECONOMIA</t>
  </si>
  <si>
    <t xml:space="preserve">
- IQ -6
- COMÉRCIO -6</t>
  </si>
  <si>
    <t xml:space="preserve">
- Este é o estudo do dinheiro, câmbio e transações bancárias. Um economista poderia responder a questões sobre investimentos, programas econômicos, etc. Ele seria capaz também de predizer os efeitos locais de mudanças econômicas (introdução de novos materiais ou técnicas, destruição de uma usina elétrica ou mercado e situações similares).</t>
  </si>
  <si>
    <t>ECOLOGIA</t>
  </si>
  <si>
    <t xml:space="preserve">
- IQ -6
- NATURALISTA -6</t>
  </si>
  <si>
    <t xml:space="preserve">
- Este é o estudo das relações entre os seres vivos, ou de todo o ambiente.
- Esta ciência não existe em NT abaixo de 6. Use Naturalista em seu lugar.
- Um ecologista seria capaz de dizer (por exemplo) quais criaturas são vitais para um ambiente e quais não; se o homem seria capaz de se adaptar a um ambiente novo; que efeito uma determinada mudança poderia ter sobre o meio-ambiente ou que papel uma certa criatura desempenha em seu habitat.</t>
  </si>
  <si>
    <t>ELETRÔNICA | COMUNICAÇÕES</t>
  </si>
  <si>
    <t xml:space="preserve">
- OUTRA ELETRÔNICA -4</t>
  </si>
  <si>
    <t xml:space="preserve">
- Esta é a engenharia eletrônica, a habilidade de projetar e construir aparelhos eletrônicos. Um teste bem sucedido permitiria, p.ex., determinar o propósito de um dispositivo desconhecido, diagnosticar uma falha, realizar um conserto, projetar novos sistemas, desenvolver um artifício para resolver um problema.
- Modificadores: +5 para construir um aparelho se o jogador for capaz de dar ao Mestre uma boa descrição do que ele pretende fazer; -5 se o personagem estiver trabalhando fora de sua especialidade. As diferenças de nível tecnológico serão muito importantes.
- Um engenheiro eletrônico deve ter uma especialidade dentre as relacionadas na descrição da perícia Operação de Equipamentos Eletrônicos (pág. 58).
- Lembre-se que um engenheiro eletrônico não é necessariamente um perito na operação dos aparelhos que ele projeta ou conserta. O nível pré-definido da perícia Operação de Equipamentos Eletrônicos é Eletrônica-3.</t>
  </si>
  <si>
    <t>MATEMÁTICA</t>
  </si>
  <si>
    <t>ELETRÔNICA | COMPUTADORES</t>
  </si>
  <si>
    <t>ELETRÔNICA | SISTEMA DE SEGURANÇA</t>
  </si>
  <si>
    <t>ELETRÔNICA | ARMAS</t>
  </si>
  <si>
    <t>ENGENHARIA MECÂNICA | MÁQUINAS PRIMITIVAS</t>
  </si>
  <si>
    <t xml:space="preserve">
- MECÂNICA-6</t>
  </si>
  <si>
    <t xml:space="preserve">
- Esta é a perícia no projeto e construção de mecanismos complexos. Um sucesso em um teste permitirá (por exemplo) determinar o propósito de ummecanismo desconhecido, diagnosticar um problema elétrico ou mecânico, fazer um reparo, projetar um novo mecanismo, improvisar um aparelho para resolver um problema.
- O tempo exigido para cada tentativa fica a cargo do Mestre.
- Modificadores: iguais aos da Eletrônica.
- Um engenheiro mecânico deve ter uma especialização (v. pág. 43) em um campo particular.</t>
  </si>
  <si>
    <t>MECÂNICA</t>
  </si>
  <si>
    <t>ENGENHARIA MECÂNICA | MINERÇÃO</t>
  </si>
  <si>
    <t>GEOLOGIA</t>
  </si>
  <si>
    <t>ENGENHARIA MECÂNICA | VEÍCULOS</t>
  </si>
  <si>
    <t>ENGENHARIA MECÂNICA | BOMBAS E ARMADILHAS</t>
  </si>
  <si>
    <t>ARMADILHAS</t>
  </si>
  <si>
    <t>ENGENHARIA MECÂNICA | ENCANAMENTOS</t>
  </si>
  <si>
    <t>ENGENHARIA MECÂNICA | ENGRENAGENS</t>
  </si>
  <si>
    <t>ENGENHARIA MECÂNICA | ELETRICIDADE</t>
  </si>
  <si>
    <t>ENGENHARIA MECÂNICA | ENGENHARIA DE COMBATE</t>
  </si>
  <si>
    <t>ENGENHARIA MECÂNICA | ARMAS DE FOGO</t>
  </si>
  <si>
    <t>TÉCNICAS JUDICIAIS</t>
  </si>
  <si>
    <t xml:space="preserve">
- CRIMINOLOGIA -4</t>
  </si>
  <si>
    <t xml:space="preserve">
- Esta é a ciência geral da criminologia “laboratorial”: cálculo da trajetória de balas, análise química ou microscópica de pistas, etc.
- Dependendo da situação o Mestre poderá permitir o uso de Química ou outro campo de estudo apropriado como nível pré-definido para Técnicas Judiciais em uma investigação particular.</t>
  </si>
  <si>
    <t>GENÉTICA</t>
  </si>
  <si>
    <t xml:space="preserve">
- BIOQUÍMICA -5
- FISIOLOGIA -5</t>
  </si>
  <si>
    <t xml:space="preserve">
- Este é o estudo da hereditariedade. Um geneticista seria capaz de identificar doenças genéticas, saberia como cruzar os animais a fim de desenvolver determinadas características além de impedir que as moscas-das-frutas devastem seu laboratório.
- A especialidade Engenharia Genética passa a existir em NT9+.</t>
  </si>
  <si>
    <t xml:space="preserve">
- IQ-6
- PROSPECÇÃO -4</t>
  </si>
  <si>
    <t xml:space="preserve">
- Esta é a ciência que estuda a Terra. Um geólogo estuda os minérios, rochas, petróleo, conhece terremotos, vulcões e fósseis.
- Em Campanha, ele seria capaz de achar água usando sua “sensibilidade para o campo” como na Perícia Sobrevivência (pág. 57).</t>
  </si>
  <si>
    <t>HISTÓRIA</t>
  </si>
  <si>
    <t xml:space="preserve">
- IQ -6
- ARQUEOLOGIA -6</t>
  </si>
  <si>
    <t xml:space="preserve">
- Este é o estudo do passado registrado (em oposição à arqueologia que estuda o passado pré-histórico).
- Um historiador seria capaz de dirimir dúvidas sobre história e poderia ter permissão para (a critério do Mestre) fazer um teste para ver se lembra de um paralelo histórico útil: - “Bom, Aníbal enfrentou uma situação parecida com esta uma vez e fez o seguinte...”.</t>
  </si>
  <si>
    <t>LINGUÍSTICA</t>
  </si>
  <si>
    <t xml:space="preserve">
- Este é o estudo dos princípios nos quais as línguas estão baseadas.
- Um linguista seria capaz de identificar um idioma pouco conhecido a partir de um fragmento de um texto escrito ou falado, se for bem sucedido em seu teste de habilidade. Adicione 1/10 de seu NH nesta perícia (arredondado para baixo), se você a tiver estudado, ao seu nível de habilidade em qualquer língua que porventura venha a aprender.</t>
  </si>
  <si>
    <t>LITERATURA</t>
  </si>
  <si>
    <t xml:space="preserve">
- Este é o estudo das grandes obras literárias. Um estudante de literatura teria conhecimento dos domínios da poesia antiga, volumes empoeirados, filosofia, crítica, etc. Isto pode ser útil para achar pistas de tesouros escondidos, continentes submersos, segredos para os quais os homens não estão preparados e coisas similares.
- O trabalho em questão deve estar escrito em uma língua conhecida pelo personagem.
- Modificadores: -5 se ele for analfabeto (tradição oral).</t>
  </si>
  <si>
    <t xml:space="preserve">
- Isto representa o conhecimento geral de matemática.
- Apesar de existirem dezenas de especialidades, é pouco provável que a diferença entre elas afete o jogo.
- Um matemático pode fazer testes de habilidade para responder qualquer tipo de problema relacionado com matemática.
- Se o problema forsimplesmente um cálculo ou avaliação, o Mestre poderá estipular um modificador devido aos recursos de computação disponíveis.</t>
  </si>
  <si>
    <t>METALOGRAFIA</t>
  </si>
  <si>
    <t xml:space="preserve">
- FERREIRO -8
- JOALHEIRO -8
- ARMEIRO -8
- QUÍMICA -5</t>
  </si>
  <si>
    <t xml:space="preserve">
- Este é o estudo dos metais e suas propriedades.
- Um metalógrafo seria capaz de identificar metais ou ligas e resolver problemas relacionados aos metais, sua mineração e refino.</t>
  </si>
  <si>
    <t>METEREOLOGIA</t>
  </si>
  <si>
    <t xml:space="preserve">
- Este é o estudo do clima e a possibilidade de predizê-lo. O Mestre sempre faz testes de habilidade em Metereologia para o jogador. Um bom resultado significa que ele dirá a verdade, enquanto uma falha implicará em uma resposta aleatória ou uma mentira.
- Em sociedades com nível tecnológico baixo, esta perícia pode ser chamada “Sentido do Clima”. Qualquer um que viva em um mundo com NT menor ou igual a 4 recebe um bônus de +2 quando estiver usando este sentido no lugar onde vive.
- Em sociedades com nível tecnológico alto, esta perícia inclui a habilidade de ler instrumentos, interpretar informações fornecidas por satélites, etc... No entanto, um meteorologista oriundo de uma sociedade com nível tecnológico alto é capaz de trabalhar sem seus instrumentos. Do contrário, ele não será um meteorologista e sim um “leitor” de instrumentos. A instrumentação ganha utilidade a partir de NT5 (Barômetro). Adicione NT - 4 ao seu nível efetivo de habilidade, se houver disponibilidade de instrumentos. Esta regra vale somente para meteorologistas treinados e não para testes com níveis pré-definidos.
- Um teste de habilidade simples servirá para fazer uma previsão de tempo para o dia seguinte. Devemos usar um redutor de -1 se tentarmos a previsão para daqui a 2 dias, -2 para 3 dias, -4 para 4 dias, -6 para 5 dias. Some -2 para cada dia a mais. Note que é necessário um teste para cada um dos dias. Uma previsão válida para 3 dias exige 3 testes: o primeiro para o dia seguinte e mais um para cada um dos subsequentes. Se houver uma falha em um dos dias, os seguintes não poderão ser bem sucedidos.
- No caso de sucesso, o meteorologista saberá em termos gerais que tipo de clima esperar para qualquer área que ele esteja visitando ou de que tenha ouvido falar.</t>
  </si>
  <si>
    <t>FÍSICA NUCLEAR</t>
  </si>
  <si>
    <t xml:space="preserve">
- Este é o estudo dos processos nucleares. Um físico nuclear seria capaz de responder perguntas sobre o interior do sol, armas e/ou usinas nucleares.</t>
  </si>
  <si>
    <t xml:space="preserve">
- MATEMÁTICA
- FÍSICA</t>
  </si>
  <si>
    <t>OCULTISMO</t>
  </si>
  <si>
    <t xml:space="preserve">
- Este é o estudo do inexplicável e/ou sobrenatural. Um ocultista tem um conhecimento muito intenso de misticismo, doutrinas mágicas primitivas, rituais antigos, obsessões, etc... Lembre-se que um ocultista não tem que necessariamente acreditar no material que ele estuda.
- Em mundos onde a magia é comum, o “ocultismo” deverá ser substituído pelo conhecimento profissional dos magos.</t>
  </si>
  <si>
    <t>FÍSICA</t>
  </si>
  <si>
    <t xml:space="preserve">
- Esta é a ciência da força e do movimento.
- Um físico seria capaz de responder a questões sobre o mecanismo básico do universo, o comportamento dos corpos em movimento e a matéria e energia.</t>
  </si>
  <si>
    <t>FISIOLOGIA</t>
  </si>
  <si>
    <t xml:space="preserve">
- IQ -7
- QUALQUER PERÍCIA MÉDICA -5</t>
  </si>
  <si>
    <t xml:space="preserve">
- Este é o estudo do corpo humano e suas funções.
- Um fisiologista sabe onde estão localizados e como funcionam os músculos, ossos e órgãos.
- Observe que esta perícia não pode ser condicionada ao Hipinotismo.</t>
  </si>
  <si>
    <t>PROSPECÇÃO</t>
  </si>
  <si>
    <t xml:space="preserve">
- IQ -5
- GEOLOGIA -4</t>
  </si>
  <si>
    <t xml:space="preserve">
- Esta é a geologia aplicada: a habilidade de descobrir minerais valiosos através da inspeção local.
- A prospecção à distância, com o uso de mapas e instrumentos, exige o conhecimento de Geologia.
- Um prospector estará submetido a um redutor de -1 em uma área nova de tipo familiar, e -2 ou mais em uma área de um tipo com o qual ele não está familiarizado, até que ele fique ali por tempo suficiente (um mês de trabalho).
- Um sucesso em um teste de Prospecção poderá indicar a presença de minério em uma amostra e julgar seu valor comercial.
- Um prospector poderia usar seu “olho clínico” para encontrar água no campo da mesma maneira que na perícia Sobrevivência (pág.57).</t>
  </si>
  <si>
    <t>PSICOLOGIA</t>
  </si>
  <si>
    <t xml:space="preserve">
- Este é o estudo do comportamento.
- Um psicólogo lida com a mente humana (e possivelmente com outros tipos também).
- Um sucesso em um teste de Psicologia pode predizer, em termos gerais, o comportamento de um indivíduo ou grupo pequeno em uma situação definida, principalmente em uma situação de tensão.
- Modificadores: +3 se o psicólogo conhecer bem o paciente; +3 se o psicólogo tiver a vantagem da Empatia e se encontrar com o paciente; +3 se o paciente sofrer de um desvio bem conhecido, i.e., sofrer de uma fobia ou outro problema mental.</t>
  </si>
  <si>
    <t>PESQUISA</t>
  </si>
  <si>
    <t xml:space="preserve">
- IQ -5
- ESCRITA -3</t>
  </si>
  <si>
    <t xml:space="preserve">
- Esta perícia pode também ter seu nível pré-definido por qualquer perícia científica (submetida a um redutor de -2), se você estiver pesquisando material relacionado com ela.
- Pesquisa é a capacidade geral de fazer uma investigação em uma biblioteca ou arquivo.
- Um sucesso em um teste de Pesquisa num lugar apropriado permitirá que você descubra algum fragmento de informação útil, se for algo para ser descoberto.</t>
  </si>
  <si>
    <t>TEOLOGIA</t>
  </si>
  <si>
    <t xml:space="preserve">
-IQ -6</t>
  </si>
  <si>
    <t xml:space="preserve">
- Este é o estudo da religião. Um teólogo tem conhecimentos sobre credos religiosos antigos e modernos, história das religiões, etc.
- Você deveria considerar a hipótese de ter esta perícia, com especialização em sua própria religião, se seu personagem for um sacerdote ou santo.</t>
  </si>
  <si>
    <t>ZOOLOGIA</t>
  </si>
  <si>
    <t xml:space="preserve">
-IQ -6
- PERÍCIAS COM ANIMAIS 66</t>
  </si>
  <si>
    <t xml:space="preserve">
- Esta é o estudo dos animais. Um zoólogo é capaz de identificar animais, ter uma boa idéia sobre sua dieta natural, seus hábitos e habitat, e prever seu comportamento.</t>
  </si>
  <si>
    <t>DISSIMULAÇÃO</t>
  </si>
  <si>
    <t>Perícias Sociais</t>
  </si>
  <si>
    <t xml:space="preserve">
- IQ -5
- TROVADOR -5
- ATUAÇÃO -2</t>
  </si>
  <si>
    <t xml:space="preserve">
- Esta é a habilidade de simular estados de ânimo, emoções e vozes e de mentir convincentemente por um período de tempo.
- Não é a mesma coisa que Disfarce e Atuação. Um sucesso em um teste de habilidade lhe permitirá fingir que pensa ou sente alguma coisa que você não sente.
- Modificadores: +1 para cada ponto de IQ que você tem a mais do que a pessoa que está tentando enganar (ou o mais inteligente do grupo) e -1 para cada ponto de IQ que a vítima tiver a mais do que você.
- A Personificação de uma pessoa em particular é um tipo especial de Dissimulação. Para imitar uma pessoa em particular é preciso em primeiro lugar se disfarçar (v. Disfarce, pág. 65), a menos que suas vítimas não possam vê-lo. Modificadores para qualquer imitação: -5 se você não estiver bem familiarizado com a pessoa que imitará; -5 se a pessoa que você quer enganar conhecer o original e -10 se eles tiverem intimidade.</t>
  </si>
  <si>
    <t>ADMINISTRAÇÃO</t>
  </si>
  <si>
    <t xml:space="preserve">
- IQ -6
- COMÉRCIO -3</t>
  </si>
  <si>
    <t xml:space="preserve">
- Esta é a habilidade de dirigir uma grande organização. Ela é útil principalmente para ganhar dinheiro ou se qualificar para ocupar altos postos.
- Um administrador treinado (nível maior ou igual a 15) receberá um bônus de +2 quando estiver lidando com um burocrata e, no caso de um sucesso em um teste de habilidade, será capaz de prognosticar qual a melhor forma de lidar com uma burocracia.</t>
  </si>
  <si>
    <t>CONHECIMENTO DO TERRENO</t>
  </si>
  <si>
    <t xml:space="preserve">
- Esta é a familiaridade com o povo, política e geografia de uma determinada área. Normalmente um personagem terá Conhecimento do Terreno apenas da área que ele considera sua “base”, seja isto uma simples fazenda ou todo um sistema solar.
- O Mestre poderá permitir que os personagens estudem Conhecimento do Terreno para outros lugares, se houver informação disponível. Os espiões, por exemplo, tentarão adquirir um Conhecimento do Terreno detalhado dos lugares onde irão operar.
- O Mestre não deve exigir testes da perícia para coisas simples como descobrir o ferreiro, a taverna ou sua própria casa. Mas ele poderia fazer um teste para ver se você consegue encontrar um ferreiro para colocar ferraduras em seu cavalo às 3 da madrugada, ou descobrir o melhor lugar para uma emboscada ao longo de um trecho de estrada.
- Informações “secretas” ou muito obscuras carregarão uma penalidade, ou poderão simplesmente não estar disponíveis através desta perícia.
- As informações que podem ser conseguidas com esta perícia coincidem, em parte, com as conseguidas com Manha, Navegação, Naturalista, Política e outras. A diferença é que o Conhecimento do Terreno funciona para uma única região; você conhece os hábitos deste arruaceiro ou chefe de gangue, mas isto não lhe dá uma compreensão geral da espécie.
- Esta perícia pode ser comprada para qualquer tipo de área. Quanto maior a área, menos pessoal e mais geral se torna seu conhecimento.
- Quase todos os personagens terão algum tipo de Conhecimento do Terreno.
- O Mestre pode impor um redutor quando for necessário o conhecimento de um lugar distante de sua área base. Ex.: Se sua área base for uma cidade pequena, os fatos acerca de fazendas vizinhas poderiam ser testados com um redutor de -1. A cidade mais próxima (a 2 km de distância) teria um redutor de -2; a cidade grande, a 80 km, teria um redutor de -5. A capital de um país vizinho teria -7 e um país distante -10. Os modificadores para grandes distâncias existentes na coluna lateral da pág. 151 podem ser usados no caso de se precisar de regras específicas.</t>
  </si>
  <si>
    <t>BOEMIA</t>
  </si>
  <si>
    <t xml:space="preserve">
- HT -2</t>
  </si>
  <si>
    <t xml:space="preserve">
- É a habilidade em participar de atividades sociais, festas, etc... Um sucesso em um teste de Boemia, feito sob as circunstâncias adequadas, lhe dará um bônus de +2 num pedido de ajuda ou informação, ou apenas numa reação geral. Uma falha significa que, de alguma maneira, você fez papel de bobo; há um redutor de -2 para qualquer teste de reação daquelas pessoas com quem você já farreou.
- Se você bebe em lugares impróprios, uma falha pode acarretar noutros perigos.
- Modificadores: de acordo com o Mestre, mas até +3 por pagar bebida ou outras diversões para seus companheiros de farra.</t>
  </si>
  <si>
    <t>DIPLOMACIA</t>
  </si>
  <si>
    <t xml:space="preserve">
- Esta é a habilidade em negociar, fazer acordos e conviver com os outros. Um teste de Diplomacia pode ser substituído por qualquer teste de reação numa situação em que não haja iminência de combate (v. Testes de Influência, pág. 93).
- Um teste bem sucedido lhe permitirá predizer os possíveis resultados de um curso de ação enquanto está negociando, ou escolher a melhor abordagem a fazer.
- Se você tiver um NH maior ou igual a 20 (especialista) em Diplomacia, receberá um bônus de +2 em todos os testes de reação.
- Modificadores: +2 se tiver a vantagem de Voz Melodiosa.
- Diferentemente das outras perícias de Influência, a Diplomacia nunca dará um resultado pior do que o que você obteria se tivesse tentado um teste de reação normal.
-Uma falha num teste de Lábia ou Sex-Appeal deixa-lo-á malquisto com o seu alvo, mas a Diplomacia é segura.</t>
  </si>
  <si>
    <t>LÁBIA</t>
  </si>
  <si>
    <t xml:space="preserve">
- IQ -5
- DISSIMULAÇÃO -5</t>
  </si>
  <si>
    <t xml:space="preserve">
- Esta é a capacidade de persuadir os outros a fazerem coisas contra seu bom-senso. Ela não é ensinada (pelo menos intencionalmente) nas escolas; ela é aprendida enquanto se trabalha como vendedor, vigarista, advogado, etc.
- Se seu NH em Lábia for maior ou igual a 20 (especialista), você receberá um bônus de +2 em todos os testes de reação em que conseguir falar.
- O Mestre pode exigir que o jogador dê detalhes da história que ele está contando, ao invés de simplesmente permitir que diga “Estou usando minha Lábia”.
- Lábia não é a mesma coisa que Dissimulação. A Lábia geralmente é usada para conseguir que alguém tome uma decisão repentina em seu favor, enquanto que a Dissimulação é usada em tramas mais duradouras. No entanto, existem situações nas quais o Mestre poderia permitir um teste com qualquer uma das duas perícias.
- Você pode usar um teste de Lábia em qualquer situação que exija um teste de reação. Todos os modificadores de reação devem ser usados. Um sucesso significa que a reação foi “Boa”, enquanto que uma falha significará uma reação “Ruim”.</t>
  </si>
  <si>
    <t>JOGO</t>
  </si>
  <si>
    <t xml:space="preserve">
- IQ -5
- MATEMÁTICA -5</t>
  </si>
  <si>
    <t xml:space="preserve">
- Esta é a habilidade com jogos de azar. Um sucesso em um teste de Jogo poderá lhe dizer, entre outras coisas, se o jogo é limpo ou não, identificar um jogador em meio a um grupo de estranhos, ou avaliar as chances em uma situação complicada.
- Quando estiver jogando contra a casa, faça somente seu teste de habilidade (com um modificador, se o Mestre disser que a chance é pequena). Se você estiver jogando com uma outra pessoa, ambos deverão fazer seus testes de Jogo (v. Disputa de Habilidades, pág. 87) até que um consiga vencer.
- Modificadores: +1 a +5 por estar familiarizado com o tipo de jogo; -1 a -5 se o jogo for manipulado contra os jogadores. A perícia “Prestidigitação” (pág. 67) poderá ser útil
se você quiser trapacear.
- Faça uma Disputa de Habilidades para tentar descobrir uma trapaça: seu NH em Jogo (ou apenas um teste de Visão) contra a Prestidigitação do oponente (no caso de truques com cartas ou dados), ou sua IQ (no caso de outros tipos de trapaça).</t>
  </si>
  <si>
    <t>LIDERANÇA</t>
  </si>
  <si>
    <t xml:space="preserve">
- ST -5</t>
  </si>
  <si>
    <t xml:space="preserve">
- Esta é a perícia na coordenação de um grupo de pessoas em uma situação de tensão ou perigo. É necessário algum nível de liderança para conseguir um posto numa organização militar ou paramilitar.
- É preciso um sucesso em um teste de Liderança para conduzir os NPCs a uma
situação de perigo (os jogadores poderão decidir por seus personagens,
se eles o seguirão ou não). Modificadores: Carisma (se você tiver); -5 se
o NPC nunca tiver estado em ação com você; -5 se os estiver enviando
em uma missão perigosa, mas não estiver indo junto; + 5 se a lealdade
deles para com você for “Boa”; +10 se a Lealdade for “Muito Boa”. Não
será necessário teste se a Lealdade for “Excelente”! (O nível pré-definido
desta perícia está baseado em ST porque num grupo qualquer, se
ninguém tiver treinamento em liderança, o mais forte normalmente a
exercerá.)</t>
  </si>
  <si>
    <t>COMÉRCIO</t>
  </si>
  <si>
    <t xml:space="preserve">
- Esta é a perícia no trato comercial, comprando e vendendo mercadorias. Ela envolve um talento para vendas, compreensão das práticas comerciais e psicologia.
- No caso de um sucesso em um teste de habilidade, um Comerciante será capaz (entre outras coisas) de, em termos de sua cultura, avaliar um bem, descobrir onde um determinado artigo é comprado ou vendido, descobrir o valor local de mercado de qualquer artigo, etc.
- Modificadores: -3 se o artigo for ilegal, a menos que ele tenha Manha num nível 12+, ou seja especializado neste tipo de material.
- Um comerciante em uma região estranha estará sob um redutor (-2 a -6 conforme a vontade do Mestre) até ter tempo de se familiarizar com os preços e costumes do lugar.
- Um comerciante pode se especializar (v. pág. 43) em algum tipo de mercadoria. Neste caso, ele terá um bônus de +5 quando estiver negociando com este tipo de mercadoria e um redutor de -1 quando não.
- Quando dois comerciantes estiverem barganhando, o Mestre poderá resolver a situação rapidamente, fazendo uma Disputa de Habilidades entre os dois. O vencedor somará ou diminuirá 10% do preço de mercado, dependendo se ele estava tentando vender ou comprar.
- Um personagem que tenha esta perícia em qualquer nível, recebe um bônus de +1 em todos os testes de reação quando estiver negociando.
- Um personagem que tenha esta perícia num nível maior ou igual a 20, tem um bônus de +2.</t>
  </si>
  <si>
    <t>ATUAÇÃO</t>
  </si>
  <si>
    <t xml:space="preserve">
- IQ -5
- DISSIMULAÇÃO -2
- TROVADOR -2</t>
  </si>
  <si>
    <t xml:space="preserve">
- Esta é a habilidade de atuar num palco ou na tela.
- Ela é diferente de Dissimulação pelo fato de você estar tentando entreter as pessoas, mas não necessariamente enganá-las.
- Se esta perícia for estudada, ela incluirá também o conhecimento profissional do tipo de atuação apropriado para o período (direção de cena, relação entre ator/agente/produtor, tipos de câmera, etc...).</t>
  </si>
  <si>
    <t>TRATO SOCIAL</t>
  </si>
  <si>
    <t xml:space="preserve">
- Esta é a perícia das “boas maneiras” (seja lá o que elas forem em sua cultura). Será necessário um sucesso num teste de habilidade para se dar bem na alta sociedade (faça um teste para cada festa ou encontro).
- Um sucesso poderá também detectar alguém que esteja fingindo ter um bom berço ou uma boa posição social.
- Em qualquer situação envolvendo “Alta Sociedade” que exija um teste de reação, poderemos substituí-lo por um teste de Trato Social; todos os modificadores de reação, deverão ser aplicados.
- Um sucesso significará uma reação “Boa”, enquanto que uma falha dará uma reação “Ruim”. Modificadores: +2 se você tiver uma posição social mais alta do que o NPC que está tentando impressionar; -2 se seu Status social for menor; +2 se parecer que você tem amigos importantes; -2 ou pior se a cultura for muito diferente da sua (-6 seria adequado no caso de uma cultura alienígena).
- Pode vir a ser difícil, também, tentar fazer-se passar por alguém que pertença a uma classe social muito distanciada da sua. Um príncipe teria um bocado de trabalho para se caracterizar como um plebeu pobretão, e vice-versa.
- Em geral, é necessário fazer um teste de Trato Social a cada vez que se pretender personificar alguém que esteja a 3 níveis sociais acima ou abaixo do seu.
- Além disso, se seu nível social "inato" for negativo, e você estriver tentado se fazer passar por alguém de nível maior ou igual a 1, ou vice-versa, o teste de Trato Social estará submetido a um redutor de -2.</t>
  </si>
  <si>
    <t>SEX-APPEAL</t>
  </si>
  <si>
    <t xml:space="preserve">
- HT -3</t>
  </si>
  <si>
    <t xml:space="preserve">
- Esta é a capacidade de impressionar o sexo oposto. Ela pode ser estudada somente nas horas de folga (um máximo de 3 horas por dia), a menos que você faça parte de um harém ou coisa parecida.
- O Sex Appeal tem tanto a ver com suas atitudes, quanto com a aparência.
- Se não desejar “seduzir” alguém para obter o que quer, você não terá, nem desejará, este talento.
- Modificador: +2 se tiver a Vantagem da Voz Melodiosa. Dobre todas as Desvantagens relacionadas com a aparência física.
- Se for necessário um teste de reação em qualquer encontro com o sexo oposto, você poderá substituí-lo por um teste de Sex-Appeal. Veja Testes de Influência, na pág. 93.
- Um sucesso significará uma reação “Muito Boa”. Uma falha indicará uma reação “Ruim” ou pior.
- Normalmente, permite-se apenas uma tentativa por “vítima”, apesar de que o Mestre poderia permitir-lhe uma nova tentativa depois de algumas semanas.</t>
  </si>
  <si>
    <t>ESTRATÉGIA | TERRESTRE</t>
  </si>
  <si>
    <t xml:space="preserve">
- IQ -6
- TÁTICA -6
- DEMAIS ESTRATÉGIAS -4</t>
  </si>
  <si>
    <t xml:space="preserve">
- Esta é a habilidade de planejar ações militares e prever as do inimigo. Normalmente é ensinada apenas por militares.
- Um sucesso em um teste de habilidade lhe permitirá deduzir os planos militares do inimigo, a menos que eles sejam liderados por alguém que tenha esta perícia. Neste caso, o Mestre deverá fazer uma Disputa de Habilidades entre os 2 estrategistas. Se o personagem do jogador perder, ele fará uma conjectura errada (i.e., o Mestre lhe dará informações erradas) acerca dos planos inimigos.
- A quantidade de informação conseguida dependerá de quão bom foi o seu resultado no teste, mas não da qualidade dos planos do inimigo.
- Um estrategista deve se especializar (pág. 43) em um tipo de estratégia. Os tipos importantes são: terrestre, naval e aérea.
- As unidades específicas que estão sendo comandadas são menos importantes; na pior das hipóteses, um estrategista planejando o uso de unidades de um outro país ou NT poderá ter um redutor de -1 ou -2, se ele tiver informações precisas acerca de suas aptidões.</t>
  </si>
  <si>
    <t>ESTRATÉGIA | NAVAL</t>
  </si>
  <si>
    <t>ESTRATÉGIA | AÉREA</t>
  </si>
  <si>
    <t>TÁTICA</t>
  </si>
  <si>
    <t xml:space="preserve">
- IQ -6
- ESTRATÉGIA -6</t>
  </si>
  <si>
    <t xml:space="preserve">
- Esta é a habilidade de adivinhar as intenções do inimigo quando a luta for homem-a-homem ou em pequenos grupos. Normalmente é ensinada apenas por militares.
- Um sucesso em um teste de Tática poderá dar (a critério do Mestre) informações sobre os planos imediatos do inimigo.
- Se você tiver estudado esta perícia, terá um bônus de +1 em testes de iniciativa. Se seu NH em Tática for maior ou igual a 20, você terá um bônus de +2 nos testes de iniciativa.</t>
  </si>
  <si>
    <t>PEDAGOGIA</t>
  </si>
  <si>
    <t xml:space="preserve">
- É a habilidade em ensinar outras pessoas. Para poder ensinar alguém, você precisa conhecer a perícia que está sendo estudada num nível maior do que o de seu aluno.
- Para fins de jogo, qualquer um com um nível maior ou igual a 12 deveria poder agir como um professor na maioria das situações.
- Se for vital para a aventura que um assunto difícil seja ensinado a alguém, deverá ser exigido um teste.
- Se houver alguma barreira de língua, o Mestre também deverá fazer testes para verificar se o professor e o aluno estão se comunicando convenientemente.</t>
  </si>
  <si>
    <t>CAMUFLAGEM</t>
  </si>
  <si>
    <t>Perícias de Ladrões e Espiões</t>
  </si>
  <si>
    <t xml:space="preserve">
- IQ -4
- SOBREVIVÊNCIA -2</t>
  </si>
  <si>
    <t xml:space="preserve">
- Esta é a perícia no uso de elementos naturais e/ou pintura para se disfarçar e esconder sua posição, equipamento, etc
-  Para determinar se a camuflagem foi bem feita, deve-se fazer uma Disputa de Habilidades (Visão vs. Camuflagem).
- Dependendo das circunstâncias, a camuflagem poderá esconder seu objetivo inteiramente ou apenas tornar indistinto o seu contorno, para fazê-lo mais difícil de atingir (redutor de -1 no NH do atacante).
- A Camuflagem não melhorará seu teste de Furtividade, mas se você estiver bem camuflado, seu inimigo poderá não vê-lo, mesmo depois de uma falha num teste de Furtividade.
- O nível básico da perícia deve ser usado para se esconder: Quanto maior for o objeto que se está escondendo, maior deverá ser o redutor.
- Use o inverso dos modificadores de Tamanho na Tabela de Armas de Longo Alcance.</t>
  </si>
  <si>
    <t>DEMOLIÇÃO</t>
  </si>
  <si>
    <t xml:space="preserve">
- IQ -5
- ENGENHARIA -3</t>
  </si>
  <si>
    <t xml:space="preserve">
- Esta é a habilidade de explodir coisas. Toda vez que você for usar explosivos, será necessário um teste de Demolição. São necessários de 15 a 60 minutos para instalar explosivos de maneira adequada e detoná-los.
- Um sucesso em um teste de habilidade significa que tudo foi bem.
- Uma falha indicará que você cometeu um engano; quanto pior o esultado do teste, pior o erro. Um resultado muito ruim com uma carga perto de você poderá mandá-lo pelos ares.
- Modificadores: -3 para um equipamento desconhecido; -2 se estiver com pressa; +2 se você tiver todo o tempo do mundo.
- Quando estiver montando uma armadilha explosiva, use esta perícia ao invés da perícia Armadilhas. Haverá um redutor de -2 quando estiver montando um estopim numa armadilha tipo mina. Se você for um engenheiro de algum modo relacionado com explosivos (ex.: mineração, militar, etc...) poderá usar sua perícia Engenharia ao invés de Demolição, sem qualquer penalidade.
- A demolição subaquática é uma perícia independente.</t>
  </si>
  <si>
    <t>DETECÇÃO DE MENTIRAS</t>
  </si>
  <si>
    <t xml:space="preserve">
- IQ -6
- PSICOLOGIA -4</t>
  </si>
  <si>
    <t xml:space="preserve">
- Esta é a capacidade de dizer se alguém está mentindo ou não. Não é a mesma coisa que Interrogatório; a Detecção de Mentiras funciona em situações informais e sociais.
- Quando você pedir para usar esta perícia, o Mestre fará uma Disputa Rápida de Habilidades entre sua Detecção de Mentiras e a IQ de seu alvo (ou Lábia, ou Dissimulação). Se você vencer, o Mestre lhe dirá se ele estava mentindo. Se você perder, o Mestre mentirá acerca da veracidade do que lhe diziam, ou dirá apenas “Você não tem como saber”.
- Modificadores: +4 se tiver a vantagem da Empatia. O Mestre poderá impor um redutor se o mentiroso for de uma outra espécie (normalmente -2), exceto quando o inquiridor estiver muito familiarizado com a espécie.</t>
  </si>
  <si>
    <t>DISFARCE</t>
  </si>
  <si>
    <t xml:space="preserve">
- Esta é a habilidade de se fazer parecer com uma outra pessoa, através do uso de roupas, maquiagem, etc. São necessários 30 a 60 minutos para preparar um bom disfarce.
- Faça uma Disputa Rápida de Habilidades (normalmente Disfarce vs. IQ) para cada pessoa (ou grupo) que seu disfarce precisa enganar.
- Pessoas com perícias profissionais na área de Poderes Legais ou espionagem podem usar estas perícias no lugar de IQ, quando estiverem tentando desmascarar um impostor.
- Modificadores: +2 se você tiver todos aqueles pós e pinturas à disposição (não ajuda no caso de um teste com nível pré-definido): -1 a -5 (a cargo do Mestre) para se disfarçar em alguém muito diferente de você. Se tiver uma aparência muito díspar, ela também diminuirá seu NH efetivo em 1 a 5 pontos (opção do Mestre).
- Grupos grandes de pessoas poderão requerer vários testes de habilidade (novamente opção do Mestre).
- Note que um disfarce rápido (vestir um jaleco quando você entra num laboratório, por exemplo) não exige teste de habilidade, mas enganará apenas inimigos distraídos.
- Se você associar Dissimulação (pág. 62) com Disfarce (i.e., quando você muda seu rosto e sua personalidade), será necessário fazer apenas um teste para cada pessoa ou grupo (mas ele deve ser o mais difícil dos dois).</t>
  </si>
  <si>
    <t>FUGA</t>
  </si>
  <si>
    <t xml:space="preserve">
- Esta é a habilidade em se soltar de cordas, algemas e atilhos semelhantes.
- A primeira tentativa de escapar leva 1 minuto; cada tentativa subseqüente levará 10 minutos.
- Modificadores: Quanto mais cuidadosamente você estiver preso, maior será o redutor que o Mestre aplicará ao teste: No caso de algemas modernas, por exemplo, o redutor seria igual a -5.
- Se você tiver a vantagem “Ultra-flexibilidade das Juntas” (pág. 20), terá um bônus de +3 nesta perícia.</t>
  </si>
  <si>
    <t>FALSIFICAÇÃO</t>
  </si>
  <si>
    <t xml:space="preserve">
- IQ -6
- DX -8
- ARTISTA -5</t>
  </si>
  <si>
    <t xml:space="preserve">
- Esta é a habilidade de falsificar uma cédula, passaporte ou outro documento similar. Ela não é ensinada a não ser por organizações de espionagem e pelo submundo, apesar de que você sempre pode estudá-la sozinho.
- Será necessário um teste de habilidade toda vez que um documento falsificado que você está usando for inspecionado (a menos que você consiga um sucesso decisivo na primeira tentativa).
- A produção real de um documento pode levar dias, se não semanas.
- Modificadores: -5 se você não tiver acesso a boas tintas e equipamentos; -5 se não tiver um modelo; +3 se estiver somente alterando um documento genuíno, ao invés de fazer um novo. O Mestre pode também impor modificadores dependendo do rigor da inspeção pela qual o documento passará; uma verificação rotineira em uma fronteira, por exemplo, teria um bônus de +5.
- Note que também é necessário coordenação e boa visão. Haverá um redutor de -1 para cada ponto que sua DX for menor do que 10.</t>
  </si>
  <si>
    <t>OCULTAMENTO</t>
  </si>
  <si>
    <t xml:space="preserve">
- IQ -5
- PRESTIDIGITAÇÃO -3</t>
  </si>
  <si>
    <t>Esta é a habilidade de esconder objetos em seu corpo ou no de outras pessoas (normalmente com a cooperação delas). É também a habilidade de encontrar estes objetos escondidos por outrem.
Detecção
Encontrar um objeto escondido em uma pessoa é uma Disputa deHabilidades; o resultado do teste de Visão (ou perícia Ocultamento +/-modificadores de Visão) daquele que procura vs. a perícia Ocultamento de quem escondeu. O Mestre deverá impor modificadores conforme as circunstâncias. Exemplo: o “procurador” estará submetido a um redutor de -5 se ele
não estiver especificamente à procura do objeto escondido, ou de -2 se ele estiver olhando rapidamente para uma quantidade grande de pessoas conforme elas passam. As disputas deveriam ser realizadas em segredo e uma resposta do tipo “Você não vê a arma que ele tem debaixo do paletó”, acabaria por invalidá-la.
Faça um teste em separado para cada objeto escondido. “Procuradores” que venham porventura a encontrar um objeto, normalmente não desconfiarão da existência de outros.
Todas as partes do corpo humano podem ser usadas para esconder armas (incluindo a parte interna. Esta é a razão pela qual os prisioneiros são submetidos a uma RCC quando chegam a um presídio). Uma revista do tipo “mãos-para-o-alto-e-apalpação-da-pessoa-revistada” leva um minuto. Num caso destes há um bônus de +1 para o procurador. Uma revista minuciosa das roupas e cabelos de uma pessoa exige 3 minutos e dá um bônus de +3. Uma revista completa, incluindo cavidades corporais, leva 5 minutos e dá um bônus igual a +5. Um aparelho de raio-X (ou similar) dá um bônus adicional de +5 numa tentativa de detectar objetos contendo algum tipo de metal.
Se houver mais de uma pessoa fazendo a revista, o Mestre deverá fazer uma disputa de habilidades para cada um dos revistadores.
O Mestre tem toda a liberdade para omitir os testes desnecessários; nenhum ser humano é capaz de fazer uma espingarda passar por uma revista. Do mesmo modo, é praticamente impossível encontrar uma faca ou uma jóia em uma pessoa vestida normalmente sem um teste de raio-X ou uma revista completa. Em geral, se o bônus líquido no teste for maior ou igual a +3, será necessário uma revista completa. Se o redutor devido ao tamanho for igual a -2 (ou pior), uma revista completa automaticamente achará o objeto escondido.
Ocultação
O tamanho e a forma do objeto determinam a possibilidade de ocultá-lo. Alguns exemplos:
- +6: Uma pedra preciosa do tamanho de uma ervilha; um selo.
- +5: Uma gazua; uma jóia grande; uma moeda pequena. Em NT8+: um disco de computador; uma carta.
- +4: Um conjunto de gazuas; uma adaga; uma moeda grande.
- +3: Um disquete do séc. XX ou CD sem o estojo.
- +2: Uma faca pequena, um revólver comum pequeno (ex. Baby Browning).
- +1: Uma faca grande; um estilingue.
- 0: Uma pistola média (ex.: Luger).
- -1: Uma arma grande (ex.: Colt).
- -2: Uma pistola grande; uma espada pequena.
- -3: Uma granada de mão.
- -4: Um montante.
- -5: Uma submetralhadora Thompson; uma cimitarra.
As roupas também afetam o nível de habilidade efetivo. Uma freira Carmelita vestindo um hábito completo (bônus de +5) seria capaz de passar uma bazuca ou um machado em uma revista visual. Uma corista de Las Vegas em trajes de trabalho (redutor de -5) teria problemas em esconder até mesmo uma adaga. É claro que a corista poderia escapar à revista (a menos que a guarda estivesse completamente entediada) porque ela obviamente não poderia esconder nada naquela roupa. A nudez completa impõe um redutor de -7 e roupas desenhadas especialmente para esconder objetos podem ter um bônus de até +4.
Um coldre executado de maneira adequada pode ajudar a esconder uma arma. Um coldre feito sob medida custa aproximadamente $200 e dá um bônus de +2 no NH de Ocultamento para a arma que ele contém. Um bom coldre axilar fabricado comercialmente custará $100 e dará um bônus de +1. Um coldre axilar de qualidade razoável custa mais ou menos $50 e não dá bônus algum. Um coldre barato, um não axilar, ou a falta de um coldre impõe um redutor de -1 à tentativa de esconder uma arma de fogo.
Objetos que se movem ou fazem barulho impõem um redutor de, no
mínimo, -1.</t>
  </si>
  <si>
    <t>SERVIÇO SECRETO</t>
  </si>
  <si>
    <t xml:space="preserve">
- A capacidade de analisar e interpretar informações secretas (normalmente militares) a fim de avaliar os planos e recursos do inimigo.</t>
  </si>
  <si>
    <t>INTERROGATÓRIO</t>
  </si>
  <si>
    <t xml:space="preserve">
- Esta é a capacidade de interrogar um prisioneiro. Só é ensinada nos serviços secretos, polícias, penitenciárias, unidades militares e submundo.
- Para interrogar um prisioneiro é necessário vencer uma Disputa de Habilidades: sua perícia Interrogatório vs. a IQ do prisioneiro. O Mestre representará o prisioneiro (ou o interrogador, se você for o prisioneiro) e fará todas as jogadas em segredo.
- Cada teste cobrirá 5 minutos de interrogatório e um sucesso significará uma resposta correta a uma pergunta. No caso de uma falha, a vítima permanecerá em silêncio ou mentirá. No caso de uma falha ruim (margem maior ou igual a 5) significa que uma mentira convincente e bem construída será dita.
- Modificadores: +2 para interrogatórios longos (mais de duas horas); -5 se o nível de lealdade do prisioneiro para com seu líder for Muito Bom ou Excelente; +3 se forem feitas ameaças cruéis; +6 se for usada tortura.
- Note que “tortura” não significa necessariamente o uso de “pau-de-arara” ou “anjinhos”.
- Expor um prisioneiro ao objeto de sua fobia (v. pág. 35) será um método de tortura bastante eficaz, se a vítima falhar em seu teste de Vontade com o objetivo de suportar o medo. Uma ameaça à integridade de um ente querido também é um método de tortura. Lembre-se que torturar um prisioneiro é normalmente considerado um comportamento vil e poderá gerar represálias.</t>
  </si>
  <si>
    <t>LEITURA LABIAL</t>
  </si>
  <si>
    <t>- VISÃO -10</t>
  </si>
  <si>
    <t xml:space="preserve">
- Esta é a habilidade de ver o que os outros estão dizendo. Para realizá-la é necessário estar a uma distância menor do que 6 metros, ou usar magia ou binóculos para fazer uma aproximação visual.
- Cada teste bem sucedido permitirá que você capte uma frase da conversa (presumindo, é claro, que você entende o idioma que está sendo falado).
- Se os observados suspeitarem que você é capaz de ler lábios, poderão ocultar a boca ou murmurar de modo a impossibilitar a leitura.
- Uma falha crítica num teste destes (se você estiver em algum lugar onde as vítimas podem vê-lo) significará que você os encarou demais e eles perceberam.
- Modificadores: Todos os de Visão (pág. 92).</t>
  </si>
  <si>
    <t>ARROMABAMENTO</t>
  </si>
  <si>
    <t xml:space="preserve">
- Esta é a habilidade de abrir fechaduras, cadeados e cofres sem ter a chave ou a combinação. Cada tentativa gasta 1 minuto.
- Se você for bem sucedido e conseguir abrir o cadeado/fechadura, cada ponto da sua margem de sucesso diminuirá 5 segundos do tempo gasto. (Uma casa- forte, um cofre ou uma fechadura desafiadora podem exigir mais tempo, segundo a vontade do Mestre.)
- Note que se a fechadura tiver uma armadilha ou alarme ligado a ela, será necessário um teste de Armadilhas para ver se você consegue evitá-lo.
- Modificadores: -3 se você tiver apenas equipamento improvisado ao invés de gazuas verdadeiras; -5 se estiver escuro (trabalhando só com o tato); até +5 devido a equipamento de boa qualidade em cenários com NT alto. Informação “de dentro” dá bônus segundo critério do Mestre.</t>
  </si>
  <si>
    <t>PUNGA</t>
  </si>
  <si>
    <t xml:space="preserve">
- DX -4
- PRESTIDIGITAÇÃO -4</t>
  </si>
  <si>
    <t xml:space="preserve">
- Esta é a habilidade de tirar uma carteira, faca, etc., de alguém, ou “plantar” alguma coisa nele.
- Modificadores: +5 se a vítima estiver distraída; + 10 se ela estiver adormecida ou bêbada; até -5 para valores em um bolso interno e até -10 para um anel ou jóia similar.
- Se sua vítima estiver ciente de que alguém poderia tentar bater sua carteira, ou se ela for uma pessoa normalmente precavida, o Mestre deverá fazer uma Disputa entre a IQ da vítima (modificada pela Prontidão) e seu NH em Punga.
- Se a vítima tiver Manha, ela deverá usá-la ao invés de IQ.
- Pode ser necessário uma disputa semelhante para encobrir o ato de uma terceira pessoa que esteja observando você e a vítima.</t>
  </si>
  <si>
    <t>VENEFÍCIO</t>
  </si>
  <si>
    <t xml:space="preserve">
- IQ -6
- QUÍMICA -5
- MEDICINA -3</t>
  </si>
  <si>
    <t xml:space="preserve">
- Tem também como nível pré-definido Culinária-3 ou Trato Social-3 na cultura adequada.
- Este é o conhecimento prático geral de venenos.
- Um teste bem sucedido permitir-lhe-á (entre outras coisas) reconhecer no campo uma planta portadora de veneno, destilar o veneno em uma forma útil, reconhecer um veneno pelo seu sabor em comida ou bebida, identificar um veneno pela observação de seus efeitos (bônus de +3 se for você a vítima), conhecer o antídoto adequado, reconhecer ou destilar
o antídoto a partir de suas fontes.
- Note que cada uma destas proezas exige um teste separado. Modificadores: Olfato e Paladar apurados ajudarão na identificação do veneno.</t>
  </si>
  <si>
    <t>CAPTAÇÃO</t>
  </si>
  <si>
    <t xml:space="preserve">
- Esta é a habilidade em encontrar, recuperar ou improvisar objetos úteis que outros não são capazes de localizar.
- Cada tentativa leva uma hora. O captador não rouba necessariamente seu alvo — ele apenas o localiza (de algum modo) e depois o obtém pelos meios que forem necessários.
- Note que se o captador encontrar alguma coisa que está “presa”, ele deverá decidir sobre como tentará se apoderar dela, e talvez venha a ser necessário um teste de alguma outra perícia.
- Modificadores: Os que o Mestre achar necessários devido à raridade do objeto procurado.</t>
  </si>
  <si>
    <t>SOMBRA</t>
  </si>
  <si>
    <t xml:space="preserve">
- IQ -6
- FURTIVIDADE -4</t>
  </si>
  <si>
    <t xml:space="preserve">
- Esta é a habilidade de seguir uma outra pessoa em uma multidão sem ser notado. (Use Rastreamento e Furtividade quando estiver no campo.)
- Faça uma Disputa entre sua Sombra e a Visão da vítima a cada 10 minutos. Se ela vencer, você a terá perdido de vista. Se vencer por mais de 5 pontos, você terá sido visto.
- Modificadores: -2 ou mais (decisão do Mestre) se sua aparência for ímpar e -3 se a vítima o conhecer. Faça uma Disputa de Habilidades (sua Sombra contra a Furtividade ou Sombra dela) a cada 5 minutos, assim que a vítima perceber que está sendo seguida. Se ela vencer, terá conseguido escapar. Se perder por uma margem maior do que 5, ela pensará que escapou.
- Se você falhar criticamente, perderá a vítima de vista e seguirá a pessoa errada.
- Use as mesmas regras para seguir alguém em um carro ou veículo similar, mas o perseguidor estará submetido a um redutor de -2, por ser mais difícil seguir alguém nestas condições.</t>
  </si>
  <si>
    <t>PRESTIDIGITAÇÃO</t>
  </si>
  <si>
    <t xml:space="preserve">
- Esta é a habilidade de “empalmar” pequenos objetos, fazer truques com moedas e cartas, etc
-  Cada sucesso em um teste de habilidade permitir-lhe-á fazer um pequeno “truque de mágica”. Uma falha significa que você errou o truque.
- Modificadores: -3 se a pessoa que você quer enganar tiver Visão Aguçada ou conhecer Prestidigitação; +3 se a iluminação for deficiente; +3 se você tiver um cúmplice para distrair a atenção da vítima; +5 se você tiver se preparado antecipadamente (cartas na manga, etc...).
- Esta perícia também pode ser usada para trapacear no jogo.
- Numa Disputa de Habilidades, um sucesso em um teste de Prestidigitação dar-lhe-á um bônus de +5 em seu teste de Jogo. Uma falha o denunciará como trapaceiro.</t>
  </si>
  <si>
    <t>FURTIVIDADE</t>
  </si>
  <si>
    <t xml:space="preserve">
- IQ -5
- DX -5</t>
  </si>
  <si>
    <t xml:space="preserve">
- Esta é a habilidade em se esconder e mover silenciosamente.
- Um sucesso em uma jogada de teste indicará que você é capaz de se esconder em qualquer lugar, menos num aposento completamente vazio, ou se movimentar tão quietamente que ninguém irá escutá-lo, ou seguir alguém sem ser notado (para seguir alguém no meio de uma multidão use a perícia Sombra já descrita).
- Modificadores: menos seu nível de Carga; -5 para se esconder em uma área sem “esconderijos” naturais; -5 para se mover silenciosamente se você estiver correndo ao invés de andar; -5 para enganar cães ao invés de pessoas.
- Se você estiver se movendo silenciosamente e alguém estiver escutando especificamente intrusos, o Mestre fará uma Disputa de Habilidades entre sua Furtividade e a Audição de seu oponente (v. pág. 92).
- Esta perícia também é usada para caçar, depois que você avistou o animal. Um teste bem sucedido (e mais ou menos 30 minutos) o levará a uma distância menor do que 30 metros da maioria dos animais. Outra jogada, com um redutor de -5, o colocará a 15 metros. Depois disso você terá que fazer um teste de sua habilidade com a arma para acertá-lo.</t>
  </si>
  <si>
    <t>MANHA</t>
  </si>
  <si>
    <t xml:space="preserve">
- Esta é a habilidade de conviver bem com “má-companhia”.
- Um sucesso em um teste desta perícia pode (entre outras coisas) permitir que você descubra onde qualquer tipo de “ato” ilegal está ocorrendo; quais policiais ou burocratas locais podem ser comprados e por quanto; como contatar o submundo local, etc.
- Note que se você pertencer a uma organização com bons contatos (Sindicato dos Assassinos, Irmandade, polícia, Illuminati, etc...), poderá ser capaz de conseguir esta informação perguntando a um contato.
- “Manha” é uma medida de sua capacidade de fazer seus próprios contatos quando necessário.
- Numa situação (envolvendo pessoas do submundo ou de um bairro perigoso) que exija um teste de reação, você poderá substituí-lo por um teste de Manha; todos os modificadores de reação normais devem ser aplicados a esta jogada. Um sucesso significa que você conseguiu uma reação “Boa”. Uma falha significa uma reação “Ruim”.
- Modificadores para este Teste de Influência apenas: +3 se você tiver muita reputação (“boa” ou “má”) na área; -3 se você for claramente um estranho.</t>
  </si>
  <si>
    <t>ARMADILHA</t>
  </si>
  <si>
    <t xml:space="preserve">
- Esta é a perícia na construção de armadilhas e aparelhos de detecção e como anulá-los.
- Um sucesso em um teste de Armadilhas possibilitará (entre outras coisas) a detecção de uma armadilha, se você estiver procurando por isso; desarmar uma armadilha depois de descoberta, rearmá-la depois de passar; ou (tendo o material apropriado) construir uma nova.
- Lembre-se que uma armadilha pode ser qualquer coisa variando entre um poço com estacas e um elaborado sistema de segurança.
- Tempo: O mesmo que para Arrombamento (pág. 67), cada tentaiva 1 minuto.
- Modificadores: Infinitamente variável. Quanto mais sofisticada a armadilha, mais difícil será vê-la e desarmá-la.
- Note que uma armadilha pode ser (por exemplo) fácil de achar, mas difícil de desarmar. Isto tudo fica por conta do Mestre.
- Os modificadores de Visão ajudam a achar as armadilhas, mas não a desarmá-las.
- É importante salientar que, se você não tem esta perícia, o Mestre deveria fazer um teste de DX (nível pré-definido da perícia) somente para desarmar a armadi- lha e NÃO para detectar ou construir uma.
- Em cenários com NT 7+, a habilidade com Armadilhas é essencialmente igual à Eletrônica (Sistemas de Segurança).</t>
  </si>
  <si>
    <t>DEMOLIÇÃO SUBAQUÁTICA</t>
  </si>
  <si>
    <t xml:space="preserve">
- DEMOLIÇÃO -2</t>
  </si>
  <si>
    <t xml:space="preserve">
- Habilidade na preparação e detonação de uma carga explosiva debaixo d’água.
- De resto, igual à Demolição (acima). Se um engenheiro de demolição estiver usando o nível pré-definido nesta perícia, o teste só servirá para avaliar a preparação da carga.
- Se a instalação da carga exigir trabalho sob a água, ele terá que jogar contra o nível pré-definido de Mergulho, ou encontrar alguém para posicionar os explosivos, pois seu treinamento em Demolição não envolve instruções sobre mergulho.</t>
  </si>
  <si>
    <t xml:space="preserve">
- MERGULHO
- DEMOLIÇÃO</t>
  </si>
  <si>
    <t>VENTRILOQUISMO</t>
  </si>
  <si>
    <t xml:space="preserve">
- Esta é a habilidade em disfarcar e “lançar” sua voz a uma pequena distância.
- Um sucesso em um teste de habilidade permitirá que você lance sua voz bem o suficiente para enganar sua audiência.
- Modificadores: +5 se você tiver um boneco ou cúmplice para distrair a atenção da audiência (é mais fácil “ver” uma face falar do que é acreditar que a vozvem de um objeto imóvel); -3 se a audiência tiver motivos para suspeitar.</t>
  </si>
  <si>
    <t>CICLISMO</t>
  </si>
  <si>
    <t>Perícias com Veículos</t>
  </si>
  <si>
    <t xml:space="preserve">
- DX -4
- MOTOCICLISMO</t>
  </si>
  <si>
    <t xml:space="preserve">
- Esta é a habilidade em andar de bicicleta sem cair.
- Pode-se também fazer uma jogada de teste com redutor de -5 para tentar consertar uma bicicleta avariada, admitindo-se que as ferramentas e partes sobressElentes estão à disposição.</t>
  </si>
  <si>
    <t>REMO/ VELA</t>
  </si>
  <si>
    <t xml:space="preserve">
- IQ -5
- DX -5
- MOTONAÚTICA -5</t>
  </si>
  <si>
    <t xml:space="preserve">
- Esta é a perícia no trato com canoas, barcos a remos, pequenos barcos a vela, etc.
- Por definição, é necessário uma jogada de teste quando se entra no bote (para evitar cair n’água) e outra para pôr o bote em movimento.
- O MestrE pode exigir novos testes sempre que surgir um perigo.
- Modificadores: -5 se o barco não for de um tipo familiar (se você já tiver esta perícia, um dia de experiência, será suficiente para se familiarizar com o novo tipo); o mau tempo imporá um redutor de -3 ou pior.</t>
  </si>
  <si>
    <t>CONDUÇÃO | CARRO</t>
  </si>
  <si>
    <t xml:space="preserve">
- Esta é a habilidade em conduzir um tipo específico de veículo (é necessário uma especialização — pág. 43).
- Modificadores: -2 para um veículo de um tipo conhecido com o qual não se está familiarizado; -2 ou mais para um veículo em mau estado; -2 ou mais para más condições de condução; -4 ou mais para um veículo de um tipo desconhecido.
- Note que a perícia necessária para conduzir uma parelha não é Condução, mas sim Carreiro (pág. 47).
- Se você quiser aprender esta perícia para 2 ou mais tipos de veículos, comece a aprender o segundo a partir de um nível inicial razoável devido ao primeiro — normalmente 4 pontos menor.</t>
  </si>
  <si>
    <t>CONDUÇÃO | CAMINHÃO</t>
  </si>
  <si>
    <t>CONDUÇÃO | CARRETA</t>
  </si>
  <si>
    <t>CONDUÇÃO | ÔNIBUS</t>
  </si>
  <si>
    <t>CONDUÇÃO | TANQUE</t>
  </si>
  <si>
    <t>MOTOCICLISMO</t>
  </si>
  <si>
    <t>DX</t>
  </si>
  <si>
    <t xml:space="preserve">
- DX -5
- IQ -5
- CICLISMO -5</t>
  </si>
  <si>
    <t xml:space="preserve">
- Esta é a habilidade de conduzir uma motocicleta.
- Modificadores: -2 para uma moto não familiar de um tipo conhecido (ex.: Uma Harley quando sua moto é uma Shogun); -4 ou mais para uma moto em mau estado; -2 ou mais para uma estrada em más condições; -4 ou mais para uma moto de um tipo desconhecido (ex.: uma moto de um nível tecnológico diferente); +3 se a moto tiver side-car.</t>
  </si>
  <si>
    <t>PILOTAGEM | MONOMOTOR</t>
  </si>
  <si>
    <t xml:space="preserve">
- Esta é a habilidade de pilotar um tipo específico de aeronave ou espaçonave. É necessário uma especialização (pág.43).
- O nível pré-definido usa IQ, pois é preciso inteligência para entender os controles em uma emergência. Mas quando a perícia é aprendida normalmente, ela está baseada em DX como as outras perícias físicas.
- Um teste de Pilotagem é exigido na decolagem e na aterrisagem, e outro em situações de perigo. Uma falha por 1 ponto indica um trabalho mal feito; uma falha por uma margem maior indica um dano à nave; uma falha crítica é uma queda.
- Se o piloto for um especialista (NH maior ou igual a 15), qualquer falha crítica demandará um segundo teste. O acidente somente ocorrerá se esta segunda jogada resultar em falha. Caso contrário, terá sido por pouco.
- Os testes de Pilotagem também podem ser usados para resolve combates aéreos.
- Modificadores: -2 para uma aeronave não familiar de um tipo conhecido (ex.: um Piper quando seu avião é um Beech); -4 ou mais para um avião em mau estado; -2 ou mais para más condições de vôo; -4 ou mais para um avião de tipo não familiar (ex.: um bimotor quando se está acostumado com monomotores).
- Se você deseja aprender a Pilotar dois ou mais tipos de naves, comece a aprender a segunda com um nível inicial razoável devido à primeira — normalmente 4 pontos menor (verifique com o Mestre).</t>
  </si>
  <si>
    <t>PILOTAGEM | BIMOTOR</t>
  </si>
  <si>
    <t>PILOTAGEM | QUADRIMOTOR</t>
  </si>
  <si>
    <t>PILOTAGEM | JATOS</t>
  </si>
  <si>
    <t>PILOTAGEM | CAÇA MILITAR</t>
  </si>
  <si>
    <t>PILOTAGEM | HELICÓPTERO PEQUENO</t>
  </si>
  <si>
    <t>PILOTAGEM | HELICÓPTERO GRANDE</t>
  </si>
  <si>
    <t>PILOTAGEM | BALÃO DE AR QUENTE</t>
  </si>
  <si>
    <t>PILOTAGEM | ÔNIBUS ESPACIAL</t>
  </si>
  <si>
    <t>PILOTAGEM | ESPAÇONAVE</t>
  </si>
  <si>
    <t>MOTONÁUTICA</t>
  </si>
  <si>
    <t xml:space="preserve">
- IQ -5
- DX -5
- REMO/VELA -3</t>
  </si>
  <si>
    <t xml:space="preserve">
- Esta é a habilidade para dirigir todos os tipos de pequenas embarcações motorizadas (v. Remo/Vela e Marinhagem para embarcações não motorizadas).
- Quando se está usando o nível pré-definido desta perícia é necessário fazer um teste de DX ou Remo/Vela quando se entra no barco (para evitar cair na água). Todas as situações de perigo exigem uma outra jogada.
- Modificadores: -4 se o barco for de um tipo não familiar; mau tempo imporá um redutor de -3 ou pior.</t>
  </si>
  <si>
    <t>skill_final_level</t>
  </si>
  <si>
    <t>IQ -4</t>
  </si>
  <si>
    <t>IQ -3</t>
  </si>
  <si>
    <t>IQ -2</t>
  </si>
  <si>
    <t>IQ -1</t>
  </si>
  <si>
    <t>IQ</t>
  </si>
  <si>
    <t>IQ +1</t>
  </si>
  <si>
    <t>IQ +2</t>
  </si>
  <si>
    <t>IQ +3</t>
  </si>
  <si>
    <t>IQ +4</t>
  </si>
  <si>
    <t>DX -3</t>
  </si>
  <si>
    <t>DX -2</t>
  </si>
  <si>
    <t>DX -1</t>
  </si>
  <si>
    <t>DX +1</t>
  </si>
  <si>
    <t>DX +2</t>
  </si>
  <si>
    <t>DX +3</t>
  </si>
  <si>
    <t>DX +4</t>
  </si>
  <si>
    <t>DX +6</t>
  </si>
  <si>
    <t>DX +7</t>
  </si>
  <si>
    <t>DX + 8</t>
  </si>
  <si>
    <t>DX + 9</t>
  </si>
  <si>
    <t>DX + 10</t>
  </si>
  <si>
    <t>IQ +6</t>
  </si>
  <si>
    <t>IQ +5</t>
  </si>
  <si>
    <t>DX +5</t>
  </si>
  <si>
    <t>IQ +7</t>
  </si>
  <si>
    <t>IQ +8</t>
  </si>
  <si>
    <t>IQ +9</t>
  </si>
  <si>
    <t>IQ +10</t>
  </si>
  <si>
    <t>skill_difficulty</t>
  </si>
  <si>
    <t>ARTILHARIA | LANÇA FOGUETES</t>
  </si>
  <si>
    <t>ARMEIRO</t>
  </si>
  <si>
    <t>ENGENHARIA MECÂNICA</t>
  </si>
  <si>
    <t>PILOTAGEM | PLANADOR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</si>
</sst>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scheme val="minor"/>
    </font>
    <font>
      <sz val="10"/>
      <color theme="1"/>
      <name val="Arial"/>
      <family val="2"/>
      <scheme val="minor"/>
    </font>
    <font>
      <i/>
      <sz val="10"/>
      <color theme="1"/>
      <name val="Arial"/>
      <family val="2"/>
      <scheme val="minor"/>
    </font>
    <font>
      <sz val="9"/>
      <color theme="1"/>
      <name val="Arial"/>
      <family val="2"/>
      <scheme val="minor"/>
    </font>
    <font>
      <sz val="10"/>
      <color rgb="FF000000"/>
      <name val="Arial"/>
      <family val="2"/>
      <scheme val="minor"/>
    </font>
    <font>
      <b/>
      <sz val="8"/>
      <color theme="1"/>
      <name val="Arial"/>
      <family val="2"/>
      <scheme val="minor"/>
    </font>
    <font>
      <sz val="8"/>
      <color theme="1"/>
      <name val="Arial"/>
      <family val="2"/>
      <scheme val="minor"/>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wrapText="1"/>
    </xf>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7" fillId="0" borderId="0" xfId="0" applyFont="1"/>
    <xf numFmtId="0" fontId="8" fillId="0" borderId="0" xfId="0" applyFont="1"/>
    <xf numFmtId="0" fontId="8" fillId="0" borderId="0" xfId="0" applyFont="1" applyAlignment="1">
      <alignment wrapText="1"/>
    </xf>
    <xf numFmtId="0" fontId="8"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9"/>
  <sheetViews>
    <sheetView topLeftCell="A32" workbookViewId="0">
      <selection activeCell="F38" sqref="F38"/>
    </sheetView>
  </sheetViews>
  <sheetFormatPr defaultColWidth="12.5703125" defaultRowHeight="15.75" customHeight="1" x14ac:dyDescent="0.2"/>
  <cols>
    <col min="2" max="2" width="30.85546875" customWidth="1"/>
    <col min="3" max="3" width="32" customWidth="1"/>
    <col min="4" max="5" width="17" customWidth="1"/>
    <col min="7" max="7" width="27.85546875" customWidth="1"/>
    <col min="8" max="8" width="19.7109375" customWidth="1"/>
    <col min="9" max="9" width="15.7109375" customWidth="1"/>
    <col min="10" max="10" width="15.42578125" customWidth="1"/>
    <col min="11" max="11" width="84.28515625" customWidth="1"/>
    <col min="12" max="12" width="15.140625" customWidth="1"/>
  </cols>
  <sheetData>
    <row r="1" spans="1:28" ht="22.5" x14ac:dyDescent="0.2">
      <c r="A1" s="8" t="s">
        <v>24</v>
      </c>
      <c r="B1" s="8" t="s">
        <v>25</v>
      </c>
      <c r="C1" s="8" t="s">
        <v>26</v>
      </c>
      <c r="D1" s="8" t="s">
        <v>27</v>
      </c>
      <c r="E1" s="8" t="s">
        <v>28</v>
      </c>
      <c r="F1" s="8" t="s">
        <v>593</v>
      </c>
      <c r="G1" s="8" t="s">
        <v>29</v>
      </c>
      <c r="H1" s="8" t="s">
        <v>30</v>
      </c>
      <c r="I1" s="8" t="s">
        <v>31</v>
      </c>
      <c r="J1" s="8" t="s">
        <v>32</v>
      </c>
      <c r="K1" s="8" t="s">
        <v>33</v>
      </c>
      <c r="L1" s="8" t="s">
        <v>34</v>
      </c>
      <c r="M1" s="5"/>
      <c r="N1" s="5"/>
      <c r="O1" s="5"/>
      <c r="P1" s="5"/>
      <c r="Q1" s="5"/>
      <c r="R1" s="5"/>
      <c r="S1" s="5"/>
      <c r="T1" s="5"/>
      <c r="U1" s="5"/>
      <c r="V1" s="5"/>
      <c r="W1" s="5"/>
      <c r="X1" s="5"/>
      <c r="Y1" s="5"/>
      <c r="Z1" s="5"/>
      <c r="AA1" s="5"/>
      <c r="AB1" s="5"/>
    </row>
    <row r="2" spans="1:28" ht="225" x14ac:dyDescent="0.2">
      <c r="A2" s="9" t="s">
        <v>35</v>
      </c>
      <c r="B2" s="9" t="str">
        <f t="shared" ref="B2:B256" si="0">CONCATENATE(C2," - ",E2,"|",F2)</f>
        <v>ADESTRAMENTO DE ANIMAIS - M|D</v>
      </c>
      <c r="C2" s="9" t="s">
        <v>36</v>
      </c>
      <c r="D2" s="9" t="s">
        <v>37</v>
      </c>
      <c r="E2" s="9" t="s">
        <v>38</v>
      </c>
      <c r="F2" s="9" t="s">
        <v>39</v>
      </c>
      <c r="G2" s="9" t="str">
        <f t="shared" ref="G2:G27" si="1">IF(E2="M", "IQ", "DX")</f>
        <v>IQ</v>
      </c>
      <c r="H2" s="9" t="s">
        <v>40</v>
      </c>
      <c r="I2" s="9" t="s">
        <v>41</v>
      </c>
      <c r="J2" s="9">
        <v>46</v>
      </c>
      <c r="K2" s="9" t="s">
        <v>42</v>
      </c>
      <c r="L2" s="9"/>
      <c r="M2" s="5"/>
      <c r="N2" s="5"/>
      <c r="O2" s="5"/>
      <c r="P2" s="5"/>
      <c r="Q2" s="5"/>
      <c r="R2" s="5"/>
      <c r="S2" s="5"/>
      <c r="T2" s="5"/>
      <c r="U2" s="5"/>
      <c r="V2" s="5"/>
      <c r="W2" s="5"/>
      <c r="X2" s="5"/>
      <c r="Y2" s="5"/>
      <c r="Z2" s="5"/>
      <c r="AA2" s="5"/>
      <c r="AB2" s="5"/>
    </row>
    <row r="3" spans="1:28" ht="67.5" x14ac:dyDescent="0.2">
      <c r="A3" s="9" t="str">
        <f>LEFT(A2,FIND("-",A2)) &amp; TEXT(VALUE(MID(A2,FIND("-",A2)+1,99)) + 1,"000")</f>
        <v>SKILL-001</v>
      </c>
      <c r="B3" s="9" t="str">
        <f t="shared" si="0"/>
        <v>FALCOARIA - M|M</v>
      </c>
      <c r="C3" s="9" t="s">
        <v>43</v>
      </c>
      <c r="D3" s="9" t="s">
        <v>37</v>
      </c>
      <c r="E3" s="9" t="s">
        <v>38</v>
      </c>
      <c r="F3" s="9" t="s">
        <v>38</v>
      </c>
      <c r="G3" s="9" t="str">
        <f t="shared" si="1"/>
        <v>IQ</v>
      </c>
      <c r="H3" s="9" t="s">
        <v>44</v>
      </c>
      <c r="I3" s="9" t="s">
        <v>41</v>
      </c>
      <c r="J3" s="9">
        <v>46</v>
      </c>
      <c r="K3" s="9" t="s">
        <v>45</v>
      </c>
      <c r="L3" s="9"/>
      <c r="M3" s="5"/>
      <c r="N3" s="5"/>
      <c r="O3" s="5"/>
      <c r="P3" s="5"/>
      <c r="Q3" s="5"/>
      <c r="R3" s="5"/>
      <c r="S3" s="5"/>
      <c r="T3" s="5"/>
      <c r="U3" s="5"/>
      <c r="V3" s="5"/>
      <c r="W3" s="5"/>
      <c r="X3" s="5"/>
      <c r="Y3" s="5"/>
      <c r="Z3" s="5"/>
      <c r="AA3" s="5"/>
      <c r="AB3" s="5"/>
    </row>
    <row r="4" spans="1:28" ht="135" x14ac:dyDescent="0.2">
      <c r="A4" s="9" t="str">
        <f t="shared" ref="A4:A67" si="2">LEFT(A3,FIND("-",A3)) &amp; TEXT(VALUE(MID(A3,FIND("-",A3)+1,99)) + 1,"000")</f>
        <v>SKILL-002</v>
      </c>
      <c r="B4" s="9" t="str">
        <f t="shared" si="0"/>
        <v>CARREGAMENTO - M|D</v>
      </c>
      <c r="C4" s="9" t="s">
        <v>46</v>
      </c>
      <c r="D4" s="9" t="s">
        <v>37</v>
      </c>
      <c r="E4" s="9" t="s">
        <v>38</v>
      </c>
      <c r="F4" s="9" t="s">
        <v>39</v>
      </c>
      <c r="G4" s="9" t="str">
        <f t="shared" si="1"/>
        <v>IQ</v>
      </c>
      <c r="H4" s="9" t="s">
        <v>47</v>
      </c>
      <c r="I4" s="9" t="s">
        <v>41</v>
      </c>
      <c r="J4" s="9">
        <v>46</v>
      </c>
      <c r="K4" s="9" t="s">
        <v>48</v>
      </c>
      <c r="L4" s="9" t="s">
        <v>36</v>
      </c>
      <c r="M4" s="5"/>
      <c r="N4" s="5"/>
      <c r="O4" s="5"/>
      <c r="P4" s="5"/>
      <c r="Q4" s="5"/>
      <c r="R4" s="5"/>
      <c r="S4" s="5"/>
      <c r="T4" s="5"/>
      <c r="U4" s="5"/>
      <c r="V4" s="5"/>
      <c r="W4" s="5"/>
      <c r="X4" s="5"/>
      <c r="Y4" s="5"/>
      <c r="Z4" s="5"/>
      <c r="AA4" s="5"/>
      <c r="AB4" s="5"/>
    </row>
    <row r="5" spans="1:28" ht="101.25" x14ac:dyDescent="0.2">
      <c r="A5" s="9" t="str">
        <f t="shared" si="2"/>
        <v>SKILL-003</v>
      </c>
      <c r="B5" s="9" t="str">
        <f t="shared" si="0"/>
        <v>MONTARIA | CAVALOS - F|M</v>
      </c>
      <c r="C5" s="10" t="s">
        <v>49</v>
      </c>
      <c r="D5" s="9" t="s">
        <v>37</v>
      </c>
      <c r="E5" s="10" t="s">
        <v>50</v>
      </c>
      <c r="F5" s="10" t="s">
        <v>38</v>
      </c>
      <c r="G5" s="9" t="str">
        <f t="shared" si="1"/>
        <v>DX</v>
      </c>
      <c r="H5" s="9" t="s">
        <v>51</v>
      </c>
      <c r="I5" s="9" t="s">
        <v>41</v>
      </c>
      <c r="J5" s="9">
        <v>46</v>
      </c>
      <c r="K5" s="9" t="s">
        <v>52</v>
      </c>
      <c r="L5" s="9"/>
      <c r="M5" s="5"/>
      <c r="N5" s="5"/>
      <c r="O5" s="5"/>
      <c r="P5" s="5"/>
      <c r="Q5" s="5"/>
      <c r="R5" s="5"/>
      <c r="S5" s="5"/>
      <c r="T5" s="5"/>
      <c r="U5" s="5"/>
      <c r="V5" s="5"/>
      <c r="W5" s="5"/>
      <c r="X5" s="5"/>
      <c r="Y5" s="5"/>
      <c r="Z5" s="5"/>
      <c r="AA5" s="5"/>
      <c r="AB5" s="5"/>
    </row>
    <row r="6" spans="1:28" ht="101.25" x14ac:dyDescent="0.2">
      <c r="A6" s="9" t="str">
        <f t="shared" si="2"/>
        <v>SKILL-004</v>
      </c>
      <c r="B6" s="9" t="str">
        <f t="shared" si="0"/>
        <v>MONTARIA | CAMELOS - F|M</v>
      </c>
      <c r="C6" s="10" t="s">
        <v>53</v>
      </c>
      <c r="D6" s="9" t="s">
        <v>37</v>
      </c>
      <c r="E6" s="10" t="s">
        <v>50</v>
      </c>
      <c r="F6" s="10" t="s">
        <v>38</v>
      </c>
      <c r="G6" s="9" t="str">
        <f t="shared" si="1"/>
        <v>DX</v>
      </c>
      <c r="H6" s="9" t="s">
        <v>51</v>
      </c>
      <c r="I6" s="9" t="s">
        <v>41</v>
      </c>
      <c r="J6" s="9">
        <v>46</v>
      </c>
      <c r="K6" s="9" t="s">
        <v>52</v>
      </c>
      <c r="L6" s="9"/>
      <c r="M6" s="5"/>
      <c r="N6" s="5"/>
      <c r="O6" s="5"/>
      <c r="P6" s="5"/>
      <c r="Q6" s="5"/>
      <c r="R6" s="5"/>
      <c r="S6" s="5"/>
      <c r="T6" s="5"/>
      <c r="U6" s="5"/>
      <c r="V6" s="5"/>
      <c r="W6" s="5"/>
      <c r="X6" s="5"/>
      <c r="Y6" s="5"/>
      <c r="Z6" s="5"/>
      <c r="AA6" s="5"/>
      <c r="AB6" s="5"/>
    </row>
    <row r="7" spans="1:28" ht="101.25" x14ac:dyDescent="0.2">
      <c r="A7" s="9" t="str">
        <f t="shared" si="2"/>
        <v>SKILL-005</v>
      </c>
      <c r="B7" s="9" t="str">
        <f t="shared" si="0"/>
        <v>MONTARIA | BOIS - F|M</v>
      </c>
      <c r="C7" s="10" t="s">
        <v>54</v>
      </c>
      <c r="D7" s="9" t="s">
        <v>37</v>
      </c>
      <c r="E7" s="10" t="s">
        <v>50</v>
      </c>
      <c r="F7" s="10" t="s">
        <v>38</v>
      </c>
      <c r="G7" s="9" t="str">
        <f t="shared" si="1"/>
        <v>DX</v>
      </c>
      <c r="H7" s="9" t="s">
        <v>51</v>
      </c>
      <c r="I7" s="9" t="s">
        <v>41</v>
      </c>
      <c r="J7" s="9">
        <v>46</v>
      </c>
      <c r="K7" s="9" t="s">
        <v>52</v>
      </c>
      <c r="L7" s="9"/>
      <c r="M7" s="5"/>
      <c r="N7" s="5"/>
      <c r="O7" s="5"/>
      <c r="P7" s="5"/>
      <c r="Q7" s="5"/>
      <c r="R7" s="5"/>
      <c r="S7" s="5"/>
      <c r="T7" s="5"/>
      <c r="U7" s="5"/>
      <c r="V7" s="5"/>
      <c r="W7" s="5"/>
      <c r="X7" s="5"/>
      <c r="Y7" s="5"/>
      <c r="Z7" s="5"/>
      <c r="AA7" s="5"/>
      <c r="AB7" s="5"/>
    </row>
    <row r="8" spans="1:28" ht="101.25" x14ac:dyDescent="0.2">
      <c r="A8" s="9" t="str">
        <f t="shared" si="2"/>
        <v>SKILL-006</v>
      </c>
      <c r="B8" s="9" t="str">
        <f t="shared" si="0"/>
        <v>MONTARIA | HIPOGRIFOS - F|M</v>
      </c>
      <c r="C8" s="10" t="s">
        <v>55</v>
      </c>
      <c r="D8" s="9" t="s">
        <v>37</v>
      </c>
      <c r="E8" s="10" t="s">
        <v>50</v>
      </c>
      <c r="F8" s="10" t="s">
        <v>38</v>
      </c>
      <c r="G8" s="9" t="str">
        <f t="shared" si="1"/>
        <v>DX</v>
      </c>
      <c r="H8" s="9" t="s">
        <v>51</v>
      </c>
      <c r="I8" s="9" t="s">
        <v>41</v>
      </c>
      <c r="J8" s="9">
        <v>46</v>
      </c>
      <c r="K8" s="9" t="s">
        <v>52</v>
      </c>
      <c r="L8" s="9"/>
      <c r="M8" s="5"/>
      <c r="N8" s="5"/>
      <c r="O8" s="5"/>
      <c r="P8" s="5"/>
      <c r="Q8" s="5"/>
      <c r="R8" s="5"/>
      <c r="S8" s="5"/>
      <c r="T8" s="5"/>
      <c r="U8" s="5"/>
      <c r="V8" s="5"/>
      <c r="W8" s="5"/>
      <c r="X8" s="5"/>
      <c r="Y8" s="5"/>
      <c r="Z8" s="5"/>
      <c r="AA8" s="5"/>
      <c r="AB8" s="5"/>
    </row>
    <row r="9" spans="1:28" ht="101.25" x14ac:dyDescent="0.2">
      <c r="A9" s="9" t="str">
        <f t="shared" si="2"/>
        <v>SKILL-007</v>
      </c>
      <c r="B9" s="9" t="str">
        <f t="shared" si="0"/>
        <v>MONTARIA | DRAGÕES - F|M</v>
      </c>
      <c r="C9" s="10" t="s">
        <v>56</v>
      </c>
      <c r="D9" s="9" t="s">
        <v>37</v>
      </c>
      <c r="E9" s="10" t="s">
        <v>50</v>
      </c>
      <c r="F9" s="10" t="s">
        <v>38</v>
      </c>
      <c r="G9" s="9" t="str">
        <f t="shared" si="1"/>
        <v>DX</v>
      </c>
      <c r="H9" s="9" t="s">
        <v>51</v>
      </c>
      <c r="I9" s="9" t="s">
        <v>41</v>
      </c>
      <c r="J9" s="9">
        <v>46</v>
      </c>
      <c r="K9" s="9" t="s">
        <v>52</v>
      </c>
      <c r="L9" s="9"/>
      <c r="M9" s="5"/>
      <c r="N9" s="5"/>
      <c r="O9" s="5"/>
      <c r="P9" s="5"/>
      <c r="Q9" s="5"/>
      <c r="R9" s="5"/>
      <c r="S9" s="5"/>
      <c r="T9" s="5"/>
      <c r="U9" s="5"/>
      <c r="V9" s="5"/>
      <c r="W9" s="5"/>
      <c r="X9" s="5"/>
      <c r="Y9" s="5"/>
      <c r="Z9" s="5"/>
      <c r="AA9" s="5"/>
      <c r="AB9" s="5"/>
    </row>
    <row r="10" spans="1:28" ht="101.25" x14ac:dyDescent="0.2">
      <c r="A10" s="9" t="str">
        <f t="shared" si="2"/>
        <v>SKILL-008</v>
      </c>
      <c r="B10" s="9" t="str">
        <f t="shared" si="0"/>
        <v>MONTARIA | WARGS - F|M</v>
      </c>
      <c r="C10" s="10" t="s">
        <v>57</v>
      </c>
      <c r="D10" s="9" t="s">
        <v>37</v>
      </c>
      <c r="E10" s="10" t="s">
        <v>50</v>
      </c>
      <c r="F10" s="10" t="s">
        <v>38</v>
      </c>
      <c r="G10" s="9" t="str">
        <f t="shared" si="1"/>
        <v>DX</v>
      </c>
      <c r="H10" s="9" t="s">
        <v>51</v>
      </c>
      <c r="I10" s="9" t="s">
        <v>41</v>
      </c>
      <c r="J10" s="9">
        <v>46</v>
      </c>
      <c r="K10" s="9" t="s">
        <v>52</v>
      </c>
      <c r="L10" s="9"/>
      <c r="M10" s="5"/>
      <c r="N10" s="5"/>
      <c r="O10" s="5"/>
      <c r="P10" s="5"/>
      <c r="Q10" s="5"/>
      <c r="R10" s="5"/>
      <c r="S10" s="5"/>
      <c r="T10" s="5"/>
      <c r="U10" s="5"/>
      <c r="V10" s="5"/>
      <c r="W10" s="5"/>
      <c r="X10" s="5"/>
      <c r="Y10" s="5"/>
      <c r="Z10" s="5"/>
      <c r="AA10" s="5"/>
      <c r="AB10" s="5"/>
    </row>
    <row r="11" spans="1:28" ht="180" x14ac:dyDescent="0.2">
      <c r="A11" s="9" t="str">
        <f t="shared" si="2"/>
        <v>SKILL-009</v>
      </c>
      <c r="B11" s="9" t="str">
        <f t="shared" si="0"/>
        <v>CARREIRO | CAVALOS - M|M</v>
      </c>
      <c r="C11" s="10" t="s">
        <v>58</v>
      </c>
      <c r="D11" s="9" t="s">
        <v>37</v>
      </c>
      <c r="E11" s="10" t="s">
        <v>38</v>
      </c>
      <c r="F11" s="10" t="s">
        <v>38</v>
      </c>
      <c r="G11" s="9" t="str">
        <f t="shared" si="1"/>
        <v>IQ</v>
      </c>
      <c r="H11" s="9" t="s">
        <v>59</v>
      </c>
      <c r="I11" s="9" t="s">
        <v>41</v>
      </c>
      <c r="J11" s="9">
        <v>47</v>
      </c>
      <c r="K11" s="9" t="s">
        <v>60</v>
      </c>
      <c r="L11" s="9" t="s">
        <v>36</v>
      </c>
      <c r="M11" s="5"/>
      <c r="N11" s="5"/>
      <c r="O11" s="5"/>
      <c r="P11" s="5"/>
      <c r="Q11" s="5"/>
      <c r="R11" s="5"/>
      <c r="S11" s="5"/>
      <c r="T11" s="5"/>
      <c r="U11" s="5"/>
      <c r="V11" s="5"/>
      <c r="W11" s="5"/>
      <c r="X11" s="5"/>
      <c r="Y11" s="5"/>
      <c r="Z11" s="5"/>
      <c r="AA11" s="5"/>
      <c r="AB11" s="5"/>
    </row>
    <row r="12" spans="1:28" ht="180" x14ac:dyDescent="0.2">
      <c r="A12" s="9" t="str">
        <f t="shared" si="2"/>
        <v>SKILL-010</v>
      </c>
      <c r="B12" s="9" t="str">
        <f t="shared" si="0"/>
        <v>CARREIRO | CAMELOS - M|M</v>
      </c>
      <c r="C12" s="10" t="s">
        <v>61</v>
      </c>
      <c r="D12" s="9" t="s">
        <v>37</v>
      </c>
      <c r="E12" s="10" t="s">
        <v>38</v>
      </c>
      <c r="F12" s="10" t="s">
        <v>38</v>
      </c>
      <c r="G12" s="9" t="str">
        <f t="shared" si="1"/>
        <v>IQ</v>
      </c>
      <c r="H12" s="9" t="s">
        <v>59</v>
      </c>
      <c r="I12" s="9" t="s">
        <v>41</v>
      </c>
      <c r="J12" s="9">
        <v>47</v>
      </c>
      <c r="K12" s="9" t="s">
        <v>60</v>
      </c>
      <c r="L12" s="9" t="s">
        <v>36</v>
      </c>
      <c r="M12" s="5"/>
      <c r="N12" s="5"/>
      <c r="O12" s="5"/>
      <c r="P12" s="5"/>
      <c r="Q12" s="5"/>
      <c r="R12" s="5"/>
      <c r="S12" s="5"/>
      <c r="T12" s="5"/>
      <c r="U12" s="5"/>
      <c r="V12" s="5"/>
      <c r="W12" s="5"/>
      <c r="X12" s="5"/>
      <c r="Y12" s="5"/>
      <c r="Z12" s="5"/>
      <c r="AA12" s="5"/>
      <c r="AB12" s="5"/>
    </row>
    <row r="13" spans="1:28" ht="180" x14ac:dyDescent="0.2">
      <c r="A13" s="9" t="str">
        <f t="shared" si="2"/>
        <v>SKILL-011</v>
      </c>
      <c r="B13" s="9" t="str">
        <f t="shared" si="0"/>
        <v>CARREIRO | BOIS - M|M</v>
      </c>
      <c r="C13" s="10" t="s">
        <v>62</v>
      </c>
      <c r="D13" s="9" t="s">
        <v>37</v>
      </c>
      <c r="E13" s="10" t="s">
        <v>38</v>
      </c>
      <c r="F13" s="10" t="s">
        <v>38</v>
      </c>
      <c r="G13" s="9" t="str">
        <f t="shared" si="1"/>
        <v>IQ</v>
      </c>
      <c r="H13" s="9" t="s">
        <v>59</v>
      </c>
      <c r="I13" s="9" t="s">
        <v>41</v>
      </c>
      <c r="J13" s="9">
        <v>47</v>
      </c>
      <c r="K13" s="9" t="s">
        <v>60</v>
      </c>
      <c r="L13" s="9" t="s">
        <v>36</v>
      </c>
      <c r="M13" s="5"/>
      <c r="N13" s="5"/>
      <c r="O13" s="5"/>
      <c r="P13" s="5"/>
      <c r="Q13" s="5"/>
      <c r="R13" s="5"/>
      <c r="S13" s="5"/>
      <c r="T13" s="5"/>
      <c r="U13" s="5"/>
      <c r="V13" s="5"/>
      <c r="W13" s="5"/>
      <c r="X13" s="5"/>
      <c r="Y13" s="5"/>
      <c r="Z13" s="5"/>
      <c r="AA13" s="5"/>
      <c r="AB13" s="5"/>
    </row>
    <row r="14" spans="1:28" ht="180" x14ac:dyDescent="0.2">
      <c r="A14" s="9" t="str">
        <f t="shared" si="2"/>
        <v>SKILL-012</v>
      </c>
      <c r="B14" s="9" t="str">
        <f t="shared" si="0"/>
        <v>CARREIRO | ELEFANTES - M|M</v>
      </c>
      <c r="C14" s="11" t="s">
        <v>63</v>
      </c>
      <c r="D14" s="9" t="s">
        <v>37</v>
      </c>
      <c r="E14" s="11" t="s">
        <v>38</v>
      </c>
      <c r="F14" s="11" t="s">
        <v>38</v>
      </c>
      <c r="G14" s="9" t="str">
        <f t="shared" si="1"/>
        <v>IQ</v>
      </c>
      <c r="H14" s="9" t="s">
        <v>59</v>
      </c>
      <c r="I14" s="12" t="s">
        <v>41</v>
      </c>
      <c r="J14" s="13">
        <v>47</v>
      </c>
      <c r="K14" s="12" t="s">
        <v>60</v>
      </c>
      <c r="L14" s="12" t="s">
        <v>36</v>
      </c>
      <c r="M14" s="5"/>
      <c r="N14" s="5"/>
      <c r="O14" s="5"/>
      <c r="P14" s="5"/>
      <c r="Q14" s="5"/>
      <c r="R14" s="5"/>
      <c r="S14" s="5"/>
      <c r="T14" s="5"/>
      <c r="U14" s="5"/>
      <c r="V14" s="5"/>
      <c r="W14" s="5"/>
      <c r="X14" s="5"/>
      <c r="Y14" s="5"/>
      <c r="Z14" s="5"/>
      <c r="AA14" s="5"/>
      <c r="AB14" s="5"/>
    </row>
    <row r="15" spans="1:28" ht="45" x14ac:dyDescent="0.2">
      <c r="A15" s="9" t="str">
        <f t="shared" si="2"/>
        <v>SKILL-013</v>
      </c>
      <c r="B15" s="9" t="str">
        <f t="shared" si="0"/>
        <v>VETERINÁRIA | PEQUENOS - M|D</v>
      </c>
      <c r="C15" s="10" t="s">
        <v>64</v>
      </c>
      <c r="D15" s="9" t="s">
        <v>37</v>
      </c>
      <c r="E15" s="10" t="s">
        <v>38</v>
      </c>
      <c r="F15" s="10" t="s">
        <v>39</v>
      </c>
      <c r="G15" s="9" t="str">
        <f t="shared" si="1"/>
        <v>IQ</v>
      </c>
      <c r="H15" s="9" t="s">
        <v>65</v>
      </c>
      <c r="I15" s="12" t="s">
        <v>41</v>
      </c>
      <c r="J15" s="13">
        <v>47</v>
      </c>
      <c r="K15" s="9" t="s">
        <v>66</v>
      </c>
      <c r="L15" s="9"/>
      <c r="M15" s="5"/>
      <c r="N15" s="5"/>
      <c r="O15" s="5"/>
      <c r="P15" s="5"/>
      <c r="Q15" s="5"/>
      <c r="R15" s="5"/>
      <c r="S15" s="5"/>
      <c r="T15" s="5"/>
      <c r="U15" s="5"/>
      <c r="V15" s="5"/>
      <c r="W15" s="5"/>
      <c r="X15" s="5"/>
      <c r="Y15" s="5"/>
      <c r="Z15" s="5"/>
      <c r="AA15" s="5"/>
      <c r="AB15" s="5"/>
    </row>
    <row r="16" spans="1:28" ht="45" x14ac:dyDescent="0.2">
      <c r="A16" s="9" t="str">
        <f t="shared" si="2"/>
        <v>SKILL-014</v>
      </c>
      <c r="B16" s="9" t="str">
        <f t="shared" si="0"/>
        <v>VETERINÁRIA | GRANDES - M|D</v>
      </c>
      <c r="C16" s="10" t="s">
        <v>67</v>
      </c>
      <c r="D16" s="9" t="s">
        <v>37</v>
      </c>
      <c r="E16" s="10" t="s">
        <v>38</v>
      </c>
      <c r="F16" s="10" t="s">
        <v>39</v>
      </c>
      <c r="G16" s="9" t="str">
        <f t="shared" si="1"/>
        <v>IQ</v>
      </c>
      <c r="H16" s="9" t="s">
        <v>65</v>
      </c>
      <c r="I16" s="12" t="s">
        <v>41</v>
      </c>
      <c r="J16" s="13">
        <v>47</v>
      </c>
      <c r="K16" s="9" t="s">
        <v>66</v>
      </c>
      <c r="L16" s="9"/>
      <c r="M16" s="5"/>
      <c r="N16" s="5"/>
      <c r="O16" s="5"/>
      <c r="P16" s="5"/>
      <c r="Q16" s="5"/>
      <c r="R16" s="5"/>
      <c r="S16" s="5"/>
      <c r="T16" s="5"/>
      <c r="U16" s="5"/>
      <c r="V16" s="5"/>
      <c r="W16" s="5"/>
      <c r="X16" s="5"/>
      <c r="Y16" s="5"/>
      <c r="Z16" s="5"/>
      <c r="AA16" s="5"/>
      <c r="AB16" s="5"/>
    </row>
    <row r="17" spans="1:28" ht="45" x14ac:dyDescent="0.2">
      <c r="A17" s="9" t="str">
        <f t="shared" si="2"/>
        <v>SKILL-015</v>
      </c>
      <c r="B17" s="9" t="str">
        <f t="shared" si="0"/>
        <v>VETERINÁRIA | SILVESTRES - M|D</v>
      </c>
      <c r="C17" s="10" t="s">
        <v>68</v>
      </c>
      <c r="D17" s="9" t="s">
        <v>37</v>
      </c>
      <c r="E17" s="10" t="s">
        <v>38</v>
      </c>
      <c r="F17" s="10" t="s">
        <v>39</v>
      </c>
      <c r="G17" s="9" t="str">
        <f t="shared" si="1"/>
        <v>IQ</v>
      </c>
      <c r="H17" s="9" t="s">
        <v>65</v>
      </c>
      <c r="I17" s="12" t="s">
        <v>41</v>
      </c>
      <c r="J17" s="13">
        <v>47</v>
      </c>
      <c r="K17" s="9" t="s">
        <v>66</v>
      </c>
      <c r="L17" s="9"/>
      <c r="M17" s="5"/>
      <c r="N17" s="5"/>
      <c r="O17" s="5"/>
      <c r="P17" s="5"/>
      <c r="Q17" s="5"/>
      <c r="R17" s="5"/>
      <c r="S17" s="5"/>
      <c r="T17" s="5"/>
      <c r="U17" s="5"/>
      <c r="V17" s="5"/>
      <c r="W17" s="5"/>
      <c r="X17" s="5"/>
      <c r="Y17" s="5"/>
      <c r="Z17" s="5"/>
      <c r="AA17" s="5"/>
      <c r="AB17" s="5"/>
    </row>
    <row r="18" spans="1:28" ht="45" x14ac:dyDescent="0.2">
      <c r="A18" s="9" t="str">
        <f t="shared" si="2"/>
        <v>SKILL-016</v>
      </c>
      <c r="B18" s="9" t="str">
        <f t="shared" si="0"/>
        <v>VETERINÁRIA | EXÓTICOS - M|MD</v>
      </c>
      <c r="C18" s="10" t="s">
        <v>69</v>
      </c>
      <c r="D18" s="9" t="s">
        <v>37</v>
      </c>
      <c r="E18" s="10" t="s">
        <v>38</v>
      </c>
      <c r="F18" s="10" t="s">
        <v>70</v>
      </c>
      <c r="G18" s="9" t="str">
        <f t="shared" si="1"/>
        <v>IQ</v>
      </c>
      <c r="H18" s="9" t="s">
        <v>65</v>
      </c>
      <c r="I18" s="12" t="s">
        <v>41</v>
      </c>
      <c r="J18" s="13">
        <v>47</v>
      </c>
      <c r="K18" s="9" t="s">
        <v>66</v>
      </c>
      <c r="L18" s="9"/>
      <c r="M18" s="5"/>
      <c r="N18" s="5"/>
      <c r="O18" s="5"/>
      <c r="P18" s="5"/>
      <c r="Q18" s="5"/>
      <c r="R18" s="5"/>
      <c r="S18" s="5"/>
      <c r="T18" s="5"/>
      <c r="U18" s="5"/>
      <c r="V18" s="5"/>
      <c r="W18" s="5"/>
      <c r="X18" s="5"/>
      <c r="Y18" s="5"/>
      <c r="Z18" s="5"/>
      <c r="AA18" s="5"/>
      <c r="AB18" s="5"/>
    </row>
    <row r="19" spans="1:28" ht="45" x14ac:dyDescent="0.2">
      <c r="A19" s="9" t="str">
        <f t="shared" si="2"/>
        <v>SKILL-017</v>
      </c>
      <c r="B19" s="9" t="str">
        <f t="shared" si="0"/>
        <v>VETERINÁRIA | MÁGICOS - M|MD</v>
      </c>
      <c r="C19" s="10" t="s">
        <v>71</v>
      </c>
      <c r="D19" s="9" t="s">
        <v>37</v>
      </c>
      <c r="E19" s="10" t="s">
        <v>38</v>
      </c>
      <c r="F19" s="10" t="s">
        <v>70</v>
      </c>
      <c r="G19" s="9" t="str">
        <f t="shared" si="1"/>
        <v>IQ</v>
      </c>
      <c r="H19" s="9" t="s">
        <v>65</v>
      </c>
      <c r="I19" s="12" t="s">
        <v>41</v>
      </c>
      <c r="J19" s="13">
        <v>47</v>
      </c>
      <c r="K19" s="9" t="s">
        <v>66</v>
      </c>
      <c r="L19" s="9"/>
      <c r="M19" s="5"/>
      <c r="N19" s="5"/>
      <c r="O19" s="5"/>
      <c r="P19" s="5"/>
      <c r="Q19" s="5"/>
      <c r="R19" s="5"/>
      <c r="S19" s="5"/>
      <c r="T19" s="5"/>
      <c r="U19" s="5"/>
      <c r="V19" s="5"/>
      <c r="W19" s="5"/>
      <c r="X19" s="5"/>
      <c r="Y19" s="5"/>
      <c r="Z19" s="5"/>
      <c r="AA19" s="5"/>
      <c r="AB19" s="5"/>
    </row>
    <row r="20" spans="1:28" ht="56.25" x14ac:dyDescent="0.2">
      <c r="A20" s="9" t="str">
        <f t="shared" si="2"/>
        <v>SKILL-018</v>
      </c>
      <c r="B20" s="9" t="str">
        <f t="shared" si="0"/>
        <v>ARTISTA - M|D</v>
      </c>
      <c r="C20" s="9" t="s">
        <v>72</v>
      </c>
      <c r="D20" s="9" t="s">
        <v>73</v>
      </c>
      <c r="E20" s="9" t="s">
        <v>38</v>
      </c>
      <c r="F20" s="9" t="s">
        <v>39</v>
      </c>
      <c r="G20" s="9" t="str">
        <f t="shared" si="1"/>
        <v>IQ</v>
      </c>
      <c r="H20" s="9" t="s">
        <v>40</v>
      </c>
      <c r="I20" s="12" t="s">
        <v>41</v>
      </c>
      <c r="J20" s="13">
        <v>47</v>
      </c>
      <c r="K20" s="9" t="s">
        <v>74</v>
      </c>
      <c r="L20" s="9"/>
      <c r="M20" s="5"/>
      <c r="N20" s="5"/>
      <c r="O20" s="5"/>
      <c r="P20" s="5"/>
      <c r="Q20" s="5"/>
      <c r="R20" s="5"/>
      <c r="S20" s="5"/>
      <c r="T20" s="5"/>
      <c r="U20" s="5"/>
      <c r="V20" s="5"/>
      <c r="W20" s="5"/>
      <c r="X20" s="5"/>
      <c r="Y20" s="5"/>
      <c r="Z20" s="5"/>
      <c r="AA20" s="5"/>
      <c r="AB20" s="5"/>
    </row>
    <row r="21" spans="1:28" ht="90" x14ac:dyDescent="0.2">
      <c r="A21" s="9" t="str">
        <f t="shared" si="2"/>
        <v>SKILL-019</v>
      </c>
      <c r="B21" s="9" t="str">
        <f t="shared" si="0"/>
        <v>TROVADOR - M|D</v>
      </c>
      <c r="C21" s="10" t="s">
        <v>75</v>
      </c>
      <c r="D21" s="10" t="s">
        <v>73</v>
      </c>
      <c r="E21" s="10" t="s">
        <v>38</v>
      </c>
      <c r="F21" s="10" t="s">
        <v>39</v>
      </c>
      <c r="G21" s="9" t="str">
        <f t="shared" si="1"/>
        <v>IQ</v>
      </c>
      <c r="H21" s="9" t="s">
        <v>76</v>
      </c>
      <c r="I21" s="12" t="s">
        <v>41</v>
      </c>
      <c r="J21" s="13">
        <v>47</v>
      </c>
      <c r="K21" s="9" t="s">
        <v>77</v>
      </c>
      <c r="L21" s="9"/>
      <c r="M21" s="5"/>
      <c r="N21" s="5"/>
      <c r="O21" s="5"/>
      <c r="P21" s="5"/>
      <c r="Q21" s="5"/>
      <c r="R21" s="5"/>
      <c r="S21" s="5"/>
      <c r="T21" s="5"/>
      <c r="U21" s="5"/>
      <c r="V21" s="5"/>
      <c r="W21" s="5"/>
      <c r="X21" s="5"/>
      <c r="Y21" s="5"/>
      <c r="Z21" s="5"/>
      <c r="AA21" s="5"/>
      <c r="AB21" s="5"/>
    </row>
    <row r="22" spans="1:28" ht="33.75" x14ac:dyDescent="0.2">
      <c r="A22" s="9" t="str">
        <f t="shared" si="2"/>
        <v>SKILL-020</v>
      </c>
      <c r="B22" s="9" t="str">
        <f t="shared" si="0"/>
        <v>CALIGRAFIA - F|M</v>
      </c>
      <c r="C22" s="10" t="s">
        <v>78</v>
      </c>
      <c r="D22" s="10" t="s">
        <v>73</v>
      </c>
      <c r="E22" s="10" t="s">
        <v>50</v>
      </c>
      <c r="F22" s="10" t="s">
        <v>38</v>
      </c>
      <c r="G22" s="9" t="str">
        <f t="shared" si="1"/>
        <v>DX</v>
      </c>
      <c r="H22" s="9" t="s">
        <v>79</v>
      </c>
      <c r="I22" s="12" t="s">
        <v>41</v>
      </c>
      <c r="J22" s="13">
        <v>47</v>
      </c>
      <c r="K22" s="9" t="s">
        <v>80</v>
      </c>
      <c r="L22" s="9" t="s">
        <v>81</v>
      </c>
      <c r="M22" s="5"/>
      <c r="N22" s="5"/>
      <c r="O22" s="5"/>
      <c r="P22" s="5"/>
      <c r="Q22" s="5"/>
      <c r="R22" s="5"/>
      <c r="S22" s="5"/>
      <c r="T22" s="5"/>
      <c r="U22" s="5"/>
      <c r="V22" s="5"/>
      <c r="W22" s="5"/>
      <c r="X22" s="5"/>
      <c r="Y22" s="5"/>
      <c r="Z22" s="5"/>
      <c r="AA22" s="5"/>
      <c r="AB22" s="5"/>
    </row>
    <row r="23" spans="1:28" ht="56.25" x14ac:dyDescent="0.2">
      <c r="A23" s="9" t="str">
        <f t="shared" si="2"/>
        <v>SKILL-021</v>
      </c>
      <c r="B23" s="9" t="str">
        <f t="shared" si="0"/>
        <v>DANÇA - F|M</v>
      </c>
      <c r="C23" s="9" t="s">
        <v>82</v>
      </c>
      <c r="D23" s="10" t="s">
        <v>73</v>
      </c>
      <c r="E23" s="9" t="s">
        <v>50</v>
      </c>
      <c r="F23" s="9" t="s">
        <v>38</v>
      </c>
      <c r="G23" s="9" t="str">
        <f t="shared" si="1"/>
        <v>DX</v>
      </c>
      <c r="H23" s="9" t="s">
        <v>83</v>
      </c>
      <c r="I23" s="12" t="s">
        <v>41</v>
      </c>
      <c r="J23" s="13">
        <v>47</v>
      </c>
      <c r="K23" s="9" t="s">
        <v>84</v>
      </c>
      <c r="L23" s="9"/>
      <c r="M23" s="5"/>
      <c r="N23" s="5"/>
      <c r="O23" s="5"/>
      <c r="P23" s="5"/>
      <c r="Q23" s="5"/>
      <c r="R23" s="5"/>
      <c r="S23" s="5"/>
      <c r="T23" s="5"/>
      <c r="U23" s="5"/>
      <c r="V23" s="5"/>
      <c r="W23" s="5"/>
      <c r="X23" s="5"/>
      <c r="Y23" s="5"/>
      <c r="Z23" s="5"/>
      <c r="AA23" s="5"/>
      <c r="AB23" s="5"/>
    </row>
    <row r="24" spans="1:28" ht="45" x14ac:dyDescent="0.2">
      <c r="A24" s="9" t="str">
        <f t="shared" si="2"/>
        <v>SKILL-022</v>
      </c>
      <c r="B24" s="9" t="str">
        <f t="shared" si="0"/>
        <v>INSTRUMENTO MUSICAL - M|D</v>
      </c>
      <c r="C24" s="9" t="s">
        <v>85</v>
      </c>
      <c r="D24" s="9" t="s">
        <v>73</v>
      </c>
      <c r="E24" s="9" t="s">
        <v>38</v>
      </c>
      <c r="F24" s="9" t="s">
        <v>39</v>
      </c>
      <c r="G24" s="9" t="str">
        <f t="shared" si="1"/>
        <v>IQ</v>
      </c>
      <c r="H24" s="9" t="s">
        <v>86</v>
      </c>
      <c r="I24" s="12" t="s">
        <v>41</v>
      </c>
      <c r="J24" s="13">
        <v>47</v>
      </c>
      <c r="K24" s="9" t="s">
        <v>87</v>
      </c>
      <c r="L24" s="9"/>
      <c r="M24" s="5"/>
      <c r="N24" s="5"/>
      <c r="O24" s="5"/>
      <c r="P24" s="5"/>
      <c r="Q24" s="5"/>
      <c r="R24" s="5"/>
      <c r="S24" s="5"/>
      <c r="T24" s="5"/>
      <c r="U24" s="5"/>
      <c r="V24" s="5"/>
      <c r="W24" s="5"/>
      <c r="X24" s="5"/>
      <c r="Y24" s="5"/>
      <c r="Z24" s="5"/>
      <c r="AA24" s="5"/>
      <c r="AB24" s="5"/>
    </row>
    <row r="25" spans="1:28" ht="67.5" x14ac:dyDescent="0.2">
      <c r="A25" s="9" t="str">
        <f t="shared" si="2"/>
        <v>SKILL-023</v>
      </c>
      <c r="B25" s="9" t="str">
        <f t="shared" si="0"/>
        <v>FOTOGRAFIA - M|M</v>
      </c>
      <c r="C25" s="9" t="s">
        <v>88</v>
      </c>
      <c r="D25" s="9" t="s">
        <v>73</v>
      </c>
      <c r="E25" s="9" t="s">
        <v>38</v>
      </c>
      <c r="F25" s="9" t="s">
        <v>38</v>
      </c>
      <c r="G25" s="9" t="str">
        <f t="shared" si="1"/>
        <v>IQ</v>
      </c>
      <c r="H25" s="9" t="s">
        <v>44</v>
      </c>
      <c r="I25" s="12" t="s">
        <v>41</v>
      </c>
      <c r="J25" s="13">
        <v>47</v>
      </c>
      <c r="K25" s="9" t="s">
        <v>89</v>
      </c>
      <c r="L25" s="9"/>
      <c r="M25" s="5"/>
      <c r="N25" s="5"/>
      <c r="O25" s="5"/>
      <c r="P25" s="5"/>
      <c r="Q25" s="5"/>
      <c r="R25" s="5"/>
      <c r="S25" s="5"/>
      <c r="T25" s="5"/>
      <c r="U25" s="5"/>
      <c r="V25" s="5"/>
      <c r="W25" s="5"/>
      <c r="X25" s="5"/>
      <c r="Y25" s="5"/>
      <c r="Z25" s="5"/>
      <c r="AA25" s="5"/>
      <c r="AB25" s="5"/>
    </row>
    <row r="26" spans="1:28" ht="101.25" x14ac:dyDescent="0.2">
      <c r="A26" s="9" t="str">
        <f t="shared" si="2"/>
        <v>SKILL-024</v>
      </c>
      <c r="B26" s="9" t="str">
        <f t="shared" si="0"/>
        <v>POESIA - M|M</v>
      </c>
      <c r="C26" s="9" t="s">
        <v>90</v>
      </c>
      <c r="D26" s="9" t="s">
        <v>73</v>
      </c>
      <c r="E26" s="9" t="s">
        <v>38</v>
      </c>
      <c r="F26" s="9" t="s">
        <v>38</v>
      </c>
      <c r="G26" s="9" t="str">
        <f t="shared" si="1"/>
        <v>IQ</v>
      </c>
      <c r="H26" s="9" t="s">
        <v>91</v>
      </c>
      <c r="I26" s="12" t="s">
        <v>41</v>
      </c>
      <c r="J26" s="13">
        <v>47</v>
      </c>
      <c r="K26" s="9" t="s">
        <v>92</v>
      </c>
      <c r="L26" s="9"/>
      <c r="M26" s="5"/>
      <c r="N26" s="5"/>
      <c r="O26" s="5"/>
      <c r="P26" s="5"/>
      <c r="Q26" s="5"/>
      <c r="R26" s="5"/>
      <c r="S26" s="5"/>
      <c r="T26" s="5"/>
      <c r="U26" s="5"/>
      <c r="V26" s="5"/>
      <c r="W26" s="5"/>
      <c r="X26" s="5"/>
      <c r="Y26" s="5"/>
      <c r="Z26" s="5"/>
      <c r="AA26" s="5"/>
      <c r="AB26" s="5"/>
    </row>
    <row r="27" spans="1:28" ht="90" x14ac:dyDescent="0.2">
      <c r="A27" s="9" t="str">
        <f t="shared" si="2"/>
        <v>SKILL-025</v>
      </c>
      <c r="B27" s="9" t="str">
        <f t="shared" si="0"/>
        <v>ESCULTURA - F|M</v>
      </c>
      <c r="C27" s="9" t="s">
        <v>93</v>
      </c>
      <c r="D27" s="9" t="s">
        <v>73</v>
      </c>
      <c r="E27" s="9" t="s">
        <v>50</v>
      </c>
      <c r="F27" s="9" t="s">
        <v>38</v>
      </c>
      <c r="G27" s="9" t="str">
        <f t="shared" si="1"/>
        <v>DX</v>
      </c>
      <c r="H27" s="9" t="s">
        <v>94</v>
      </c>
      <c r="I27" s="12" t="s">
        <v>41</v>
      </c>
      <c r="J27" s="13">
        <v>47</v>
      </c>
      <c r="K27" s="9" t="s">
        <v>95</v>
      </c>
      <c r="L27" s="9"/>
      <c r="M27" s="5"/>
      <c r="N27" s="5"/>
      <c r="O27" s="5"/>
      <c r="P27" s="5"/>
      <c r="Q27" s="5"/>
      <c r="R27" s="5"/>
      <c r="S27" s="5"/>
      <c r="T27" s="5"/>
      <c r="U27" s="5"/>
      <c r="V27" s="5"/>
      <c r="W27" s="5"/>
      <c r="X27" s="5"/>
      <c r="Y27" s="5"/>
      <c r="Z27" s="5"/>
      <c r="AA27" s="5"/>
      <c r="AB27" s="5"/>
    </row>
    <row r="28" spans="1:28" ht="67.5" x14ac:dyDescent="0.2">
      <c r="A28" s="9" t="str">
        <f t="shared" si="2"/>
        <v>SKILL-026</v>
      </c>
      <c r="B28" s="9" t="str">
        <f t="shared" si="0"/>
        <v>CANTO - F|F</v>
      </c>
      <c r="C28" s="9" t="s">
        <v>96</v>
      </c>
      <c r="D28" s="9" t="s">
        <v>73</v>
      </c>
      <c r="E28" s="9" t="s">
        <v>50</v>
      </c>
      <c r="F28" s="9" t="s">
        <v>50</v>
      </c>
      <c r="G28" s="9" t="s">
        <v>97</v>
      </c>
      <c r="H28" s="9" t="s">
        <v>98</v>
      </c>
      <c r="I28" s="12" t="s">
        <v>41</v>
      </c>
      <c r="J28" s="13">
        <v>48</v>
      </c>
      <c r="K28" s="9" t="s">
        <v>99</v>
      </c>
      <c r="L28" s="9"/>
      <c r="M28" s="5"/>
      <c r="N28" s="5"/>
      <c r="O28" s="5"/>
      <c r="P28" s="5"/>
      <c r="Q28" s="5"/>
      <c r="R28" s="5"/>
      <c r="S28" s="5"/>
      <c r="T28" s="5"/>
      <c r="U28" s="5"/>
      <c r="V28" s="5"/>
      <c r="W28" s="5"/>
      <c r="X28" s="5"/>
      <c r="Y28" s="5"/>
      <c r="Z28" s="5"/>
      <c r="AA28" s="5"/>
      <c r="AB28" s="5"/>
    </row>
    <row r="29" spans="1:28" ht="67.5" x14ac:dyDescent="0.2">
      <c r="A29" s="9" t="str">
        <f t="shared" si="2"/>
        <v>SKILL-027</v>
      </c>
      <c r="B29" s="9" t="str">
        <f t="shared" si="0"/>
        <v>ESCRITA - M|M</v>
      </c>
      <c r="C29" s="9" t="s">
        <v>100</v>
      </c>
      <c r="D29" s="9" t="s">
        <v>73</v>
      </c>
      <c r="E29" s="9" t="s">
        <v>38</v>
      </c>
      <c r="F29" s="9" t="s">
        <v>38</v>
      </c>
      <c r="G29" s="9" t="str">
        <f t="shared" ref="G29:G33" si="3">IF(E29="M", "IQ", "DX")</f>
        <v>IQ</v>
      </c>
      <c r="H29" s="9" t="s">
        <v>101</v>
      </c>
      <c r="I29" s="12" t="s">
        <v>41</v>
      </c>
      <c r="J29" s="13">
        <v>48</v>
      </c>
      <c r="K29" s="9" t="s">
        <v>102</v>
      </c>
      <c r="L29" s="9"/>
      <c r="M29" s="5"/>
      <c r="N29" s="5"/>
      <c r="O29" s="5"/>
      <c r="P29" s="5"/>
      <c r="Q29" s="5"/>
      <c r="R29" s="5"/>
      <c r="S29" s="5"/>
      <c r="T29" s="5"/>
      <c r="U29" s="5"/>
      <c r="V29" s="5"/>
      <c r="W29" s="5"/>
      <c r="X29" s="5"/>
      <c r="Y29" s="5"/>
      <c r="Z29" s="5"/>
      <c r="AA29" s="5"/>
      <c r="AB29" s="5"/>
    </row>
    <row r="30" spans="1:28" ht="123.75" x14ac:dyDescent="0.2">
      <c r="A30" s="9" t="str">
        <f t="shared" si="2"/>
        <v>SKILL-028</v>
      </c>
      <c r="B30" s="9" t="str">
        <f t="shared" si="0"/>
        <v>ACROBACIA - F|D</v>
      </c>
      <c r="C30" s="9" t="s">
        <v>103</v>
      </c>
      <c r="D30" s="9" t="s">
        <v>104</v>
      </c>
      <c r="E30" s="9" t="s">
        <v>50</v>
      </c>
      <c r="F30" s="9" t="s">
        <v>39</v>
      </c>
      <c r="G30" s="9" t="str">
        <f t="shared" si="3"/>
        <v>DX</v>
      </c>
      <c r="H30" s="9" t="s">
        <v>105</v>
      </c>
      <c r="I30" s="12" t="s">
        <v>41</v>
      </c>
      <c r="J30" s="13">
        <v>48</v>
      </c>
      <c r="K30" s="9" t="s">
        <v>106</v>
      </c>
      <c r="L30" s="9"/>
      <c r="M30" s="5"/>
      <c r="N30" s="5"/>
      <c r="O30" s="5"/>
      <c r="P30" s="5"/>
      <c r="Q30" s="5"/>
      <c r="R30" s="5"/>
      <c r="S30" s="5"/>
      <c r="T30" s="5"/>
      <c r="U30" s="5"/>
      <c r="V30" s="5"/>
      <c r="W30" s="5"/>
      <c r="X30" s="5"/>
      <c r="Y30" s="5"/>
      <c r="Z30" s="5"/>
      <c r="AA30" s="5"/>
      <c r="AB30" s="5"/>
    </row>
    <row r="31" spans="1:28" ht="101.25" x14ac:dyDescent="0.2">
      <c r="A31" s="9" t="str">
        <f t="shared" si="2"/>
        <v>SKILL-029</v>
      </c>
      <c r="B31" s="9" t="str">
        <f t="shared" si="0"/>
        <v>CONTROLE DA RESPIRAÇÃO - F|MD</v>
      </c>
      <c r="C31" s="9" t="s">
        <v>107</v>
      </c>
      <c r="D31" s="9" t="s">
        <v>104</v>
      </c>
      <c r="E31" s="9" t="s">
        <v>50</v>
      </c>
      <c r="F31" s="9" t="s">
        <v>70</v>
      </c>
      <c r="G31" s="9" t="str">
        <f t="shared" si="3"/>
        <v>DX</v>
      </c>
      <c r="H31" s="9"/>
      <c r="I31" s="12" t="s">
        <v>41</v>
      </c>
      <c r="J31" s="13">
        <v>48</v>
      </c>
      <c r="K31" s="9" t="s">
        <v>108</v>
      </c>
      <c r="L31" s="9"/>
      <c r="M31" s="5"/>
      <c r="N31" s="5"/>
      <c r="O31" s="5"/>
      <c r="P31" s="5"/>
      <c r="Q31" s="5"/>
      <c r="R31" s="5"/>
      <c r="S31" s="5"/>
      <c r="T31" s="5"/>
      <c r="U31" s="5"/>
      <c r="V31" s="5"/>
      <c r="W31" s="5"/>
      <c r="X31" s="5"/>
      <c r="Y31" s="5"/>
      <c r="Z31" s="5"/>
      <c r="AA31" s="5"/>
      <c r="AB31" s="5"/>
    </row>
    <row r="32" spans="1:28" ht="33.75" x14ac:dyDescent="0.2">
      <c r="A32" s="9" t="str">
        <f t="shared" si="2"/>
        <v>SKILL-030</v>
      </c>
      <c r="B32" s="9" t="str">
        <f t="shared" si="0"/>
        <v>SALTO - F|F</v>
      </c>
      <c r="C32" s="9" t="s">
        <v>109</v>
      </c>
      <c r="D32" s="9" t="s">
        <v>104</v>
      </c>
      <c r="E32" s="9" t="s">
        <v>50</v>
      </c>
      <c r="F32" s="9" t="s">
        <v>50</v>
      </c>
      <c r="G32" s="9" t="str">
        <f t="shared" si="3"/>
        <v>DX</v>
      </c>
      <c r="H32" s="9"/>
      <c r="I32" s="12" t="s">
        <v>41</v>
      </c>
      <c r="J32" s="13">
        <v>48</v>
      </c>
      <c r="K32" s="9" t="s">
        <v>110</v>
      </c>
      <c r="L32" s="9"/>
      <c r="M32" s="5"/>
      <c r="N32" s="5"/>
      <c r="O32" s="5"/>
      <c r="P32" s="5"/>
      <c r="Q32" s="5"/>
      <c r="R32" s="5"/>
      <c r="S32" s="5"/>
      <c r="T32" s="5"/>
      <c r="U32" s="5"/>
      <c r="V32" s="5"/>
      <c r="W32" s="5"/>
      <c r="X32" s="5"/>
      <c r="Y32" s="5"/>
      <c r="Z32" s="5"/>
      <c r="AA32" s="5"/>
      <c r="AB32" s="5"/>
    </row>
    <row r="33" spans="1:28" ht="90" x14ac:dyDescent="0.2">
      <c r="A33" s="9" t="str">
        <f t="shared" si="2"/>
        <v>SKILL-031</v>
      </c>
      <c r="B33" s="9" t="str">
        <f t="shared" si="0"/>
        <v>PARAQUEDISMO - F|F</v>
      </c>
      <c r="C33" s="9" t="s">
        <v>111</v>
      </c>
      <c r="D33" s="9" t="s">
        <v>104</v>
      </c>
      <c r="E33" s="9" t="s">
        <v>50</v>
      </c>
      <c r="F33" s="9" t="s">
        <v>50</v>
      </c>
      <c r="G33" s="9" t="str">
        <f t="shared" si="3"/>
        <v>DX</v>
      </c>
      <c r="H33" s="9" t="s">
        <v>112</v>
      </c>
      <c r="I33" s="12" t="s">
        <v>41</v>
      </c>
      <c r="J33" s="13">
        <v>48</v>
      </c>
      <c r="K33" s="9" t="s">
        <v>113</v>
      </c>
      <c r="L33" s="9"/>
      <c r="M33" s="5"/>
      <c r="N33" s="5"/>
      <c r="O33" s="5"/>
      <c r="P33" s="5"/>
      <c r="Q33" s="5"/>
      <c r="R33" s="5"/>
      <c r="S33" s="5"/>
      <c r="T33" s="5"/>
      <c r="U33" s="5"/>
      <c r="V33" s="5"/>
      <c r="W33" s="5"/>
      <c r="X33" s="5"/>
      <c r="Y33" s="5"/>
      <c r="Z33" s="5"/>
      <c r="AA33" s="5"/>
      <c r="AB33" s="5"/>
    </row>
    <row r="34" spans="1:28" ht="78.75" x14ac:dyDescent="0.2">
      <c r="A34" s="9" t="str">
        <f t="shared" si="2"/>
        <v>SKILL-032</v>
      </c>
      <c r="B34" s="9" t="str">
        <f t="shared" si="0"/>
        <v>CORRIDA - F|D</v>
      </c>
      <c r="C34" s="9" t="s">
        <v>114</v>
      </c>
      <c r="D34" s="9" t="s">
        <v>104</v>
      </c>
      <c r="E34" s="9" t="s">
        <v>50</v>
      </c>
      <c r="F34" s="9" t="s">
        <v>39</v>
      </c>
      <c r="G34" s="9" t="s">
        <v>97</v>
      </c>
      <c r="H34" s="9"/>
      <c r="I34" s="12" t="s">
        <v>41</v>
      </c>
      <c r="J34" s="13">
        <v>48</v>
      </c>
      <c r="K34" s="9" t="s">
        <v>115</v>
      </c>
      <c r="L34" s="9"/>
      <c r="M34" s="5"/>
      <c r="N34" s="5"/>
      <c r="O34" s="5"/>
      <c r="P34" s="5"/>
      <c r="Q34" s="5"/>
      <c r="R34" s="5"/>
      <c r="S34" s="5"/>
      <c r="T34" s="5"/>
      <c r="U34" s="5"/>
      <c r="V34" s="5"/>
      <c r="W34" s="5"/>
      <c r="X34" s="5"/>
      <c r="Y34" s="5"/>
      <c r="Z34" s="5"/>
      <c r="AA34" s="5"/>
      <c r="AB34" s="5"/>
    </row>
    <row r="35" spans="1:28" ht="67.5" x14ac:dyDescent="0.2">
      <c r="A35" s="9" t="str">
        <f t="shared" si="2"/>
        <v>SKILL-033</v>
      </c>
      <c r="B35" s="9" t="str">
        <f t="shared" si="0"/>
        <v>MERGULHO - M|D</v>
      </c>
      <c r="C35" s="9" t="s">
        <v>116</v>
      </c>
      <c r="D35" s="9" t="s">
        <v>104</v>
      </c>
      <c r="E35" s="9" t="s">
        <v>38</v>
      </c>
      <c r="F35" s="9" t="s">
        <v>39</v>
      </c>
      <c r="G35" s="9" t="str">
        <f t="shared" ref="G35:G201" si="4">IF(E35="M", "IQ", "DX")</f>
        <v>IQ</v>
      </c>
      <c r="H35" s="9" t="s">
        <v>117</v>
      </c>
      <c r="I35" s="12" t="s">
        <v>41</v>
      </c>
      <c r="J35" s="13">
        <v>48</v>
      </c>
      <c r="K35" s="9" t="s">
        <v>118</v>
      </c>
      <c r="L35" s="9"/>
      <c r="M35" s="5"/>
      <c r="N35" s="5"/>
      <c r="O35" s="5"/>
      <c r="P35" s="5"/>
      <c r="Q35" s="5"/>
      <c r="R35" s="5"/>
      <c r="S35" s="5"/>
      <c r="T35" s="5"/>
      <c r="U35" s="5"/>
      <c r="V35" s="5"/>
      <c r="W35" s="5"/>
      <c r="X35" s="5"/>
      <c r="Y35" s="5"/>
      <c r="Z35" s="5"/>
      <c r="AA35" s="5"/>
      <c r="AB35" s="5"/>
    </row>
    <row r="36" spans="1:28" ht="78.75" x14ac:dyDescent="0.2">
      <c r="A36" s="9" t="str">
        <f t="shared" si="2"/>
        <v>SKILL-034</v>
      </c>
      <c r="B36" s="9" t="str">
        <f t="shared" si="0"/>
        <v>ESQUI - F|F</v>
      </c>
      <c r="C36" s="9" t="s">
        <v>119</v>
      </c>
      <c r="D36" s="9" t="s">
        <v>104</v>
      </c>
      <c r="E36" s="9" t="s">
        <v>50</v>
      </c>
      <c r="F36" s="9" t="s">
        <v>50</v>
      </c>
      <c r="G36" s="9" t="str">
        <f t="shared" si="4"/>
        <v>DX</v>
      </c>
      <c r="H36" s="9" t="s">
        <v>105</v>
      </c>
      <c r="I36" s="12" t="s">
        <v>41</v>
      </c>
      <c r="J36" s="13">
        <v>49</v>
      </c>
      <c r="K36" s="9" t="s">
        <v>120</v>
      </c>
      <c r="L36" s="9"/>
      <c r="M36" s="5"/>
      <c r="N36" s="5"/>
      <c r="O36" s="5"/>
      <c r="P36" s="5"/>
      <c r="Q36" s="5"/>
      <c r="R36" s="5"/>
      <c r="S36" s="5"/>
      <c r="T36" s="5"/>
      <c r="U36" s="5"/>
      <c r="V36" s="5"/>
      <c r="W36" s="5"/>
      <c r="X36" s="5"/>
      <c r="Y36" s="5"/>
      <c r="Z36" s="5"/>
      <c r="AA36" s="5"/>
      <c r="AB36" s="5"/>
    </row>
    <row r="37" spans="1:28" ht="45" x14ac:dyDescent="0.2">
      <c r="A37" s="9" t="str">
        <f t="shared" si="2"/>
        <v>SKILL-035</v>
      </c>
      <c r="B37" s="9" t="str">
        <f t="shared" si="0"/>
        <v>NATAÇÃO - F|F</v>
      </c>
      <c r="C37" s="9" t="s">
        <v>121</v>
      </c>
      <c r="D37" s="9" t="s">
        <v>104</v>
      </c>
      <c r="E37" s="9" t="s">
        <v>50</v>
      </c>
      <c r="F37" s="9" t="s">
        <v>50</v>
      </c>
      <c r="G37" s="9" t="str">
        <f t="shared" si="4"/>
        <v>DX</v>
      </c>
      <c r="H37" s="9" t="s">
        <v>122</v>
      </c>
      <c r="I37" s="12" t="s">
        <v>41</v>
      </c>
      <c r="J37" s="13">
        <v>49</v>
      </c>
      <c r="K37" s="9" t="s">
        <v>123</v>
      </c>
      <c r="L37" s="9"/>
      <c r="M37" s="5"/>
      <c r="N37" s="5"/>
      <c r="O37" s="5"/>
      <c r="P37" s="5"/>
      <c r="Q37" s="5"/>
      <c r="R37" s="5"/>
      <c r="S37" s="5"/>
      <c r="T37" s="5"/>
      <c r="U37" s="5"/>
      <c r="V37" s="5"/>
      <c r="W37" s="5"/>
      <c r="X37" s="5"/>
      <c r="Y37" s="5"/>
      <c r="Z37" s="5"/>
      <c r="AA37" s="5"/>
      <c r="AB37" s="5"/>
    </row>
    <row r="38" spans="1:28" ht="112.5" x14ac:dyDescent="0.2">
      <c r="A38" s="9" t="str">
        <f t="shared" si="2"/>
        <v>SKILL-036</v>
      </c>
      <c r="B38" s="9" t="str">
        <f t="shared" si="0"/>
        <v>ARREMESSO - F|M</v>
      </c>
      <c r="C38" s="9" t="s">
        <v>124</v>
      </c>
      <c r="D38" s="9" t="s">
        <v>104</v>
      </c>
      <c r="E38" s="9" t="s">
        <v>50</v>
      </c>
      <c r="F38" s="9" t="s">
        <v>38</v>
      </c>
      <c r="G38" s="9" t="str">
        <f t="shared" si="4"/>
        <v>DX</v>
      </c>
      <c r="H38" s="9"/>
      <c r="I38" s="12" t="s">
        <v>41</v>
      </c>
      <c r="J38" s="13">
        <v>49</v>
      </c>
      <c r="K38" s="9" t="s">
        <v>125</v>
      </c>
      <c r="L38" s="9"/>
      <c r="M38" s="5"/>
      <c r="N38" s="5"/>
      <c r="O38" s="5"/>
      <c r="P38" s="5"/>
      <c r="Q38" s="5"/>
      <c r="R38" s="5"/>
      <c r="S38" s="5"/>
      <c r="T38" s="5"/>
      <c r="U38" s="5"/>
      <c r="V38" s="5"/>
      <c r="W38" s="5"/>
      <c r="X38" s="5"/>
      <c r="Y38" s="5"/>
      <c r="Z38" s="5"/>
      <c r="AA38" s="5"/>
      <c r="AB38" s="5"/>
    </row>
    <row r="39" spans="1:28" ht="33.75" x14ac:dyDescent="0.2">
      <c r="A39" s="9" t="str">
        <f t="shared" si="2"/>
        <v>SKILL-037</v>
      </c>
      <c r="B39" s="9" t="str">
        <f t="shared" si="0"/>
        <v>MACHADO/MAÇA - F|M</v>
      </c>
      <c r="C39" s="9" t="s">
        <v>126</v>
      </c>
      <c r="D39" s="9" t="s">
        <v>127</v>
      </c>
      <c r="E39" s="9" t="s">
        <v>50</v>
      </c>
      <c r="F39" s="9" t="s">
        <v>38</v>
      </c>
      <c r="G39" s="9" t="str">
        <f t="shared" si="4"/>
        <v>DX</v>
      </c>
      <c r="H39" s="9" t="s">
        <v>83</v>
      </c>
      <c r="I39" s="12" t="s">
        <v>41</v>
      </c>
      <c r="J39" s="13">
        <v>49</v>
      </c>
      <c r="K39" s="9" t="s">
        <v>128</v>
      </c>
      <c r="L39" s="9"/>
      <c r="M39" s="5"/>
      <c r="N39" s="5"/>
      <c r="O39" s="5"/>
      <c r="P39" s="5"/>
      <c r="Q39" s="5"/>
      <c r="R39" s="5"/>
      <c r="S39" s="5"/>
      <c r="T39" s="5"/>
      <c r="U39" s="5"/>
      <c r="V39" s="5"/>
      <c r="W39" s="5"/>
      <c r="X39" s="5"/>
      <c r="Y39" s="5"/>
      <c r="Z39" s="5"/>
      <c r="AA39" s="5"/>
      <c r="AB39" s="5"/>
    </row>
    <row r="40" spans="1:28" ht="33.75" x14ac:dyDescent="0.2">
      <c r="A40" s="9" t="str">
        <f t="shared" si="2"/>
        <v>SKILL-038</v>
      </c>
      <c r="B40" s="9" t="str">
        <f t="shared" si="0"/>
        <v>ARREMESSO DE MACHADO - F|F</v>
      </c>
      <c r="C40" s="9" t="s">
        <v>129</v>
      </c>
      <c r="D40" s="9" t="s">
        <v>127</v>
      </c>
      <c r="E40" s="9" t="s">
        <v>50</v>
      </c>
      <c r="F40" s="9" t="s">
        <v>50</v>
      </c>
      <c r="G40" s="9" t="str">
        <f t="shared" si="4"/>
        <v>DX</v>
      </c>
      <c r="H40" s="9" t="s">
        <v>130</v>
      </c>
      <c r="I40" s="12" t="s">
        <v>41</v>
      </c>
      <c r="J40" s="13">
        <v>49</v>
      </c>
      <c r="K40" s="9" t="s">
        <v>131</v>
      </c>
      <c r="L40" s="9"/>
      <c r="M40" s="5"/>
      <c r="N40" s="5"/>
      <c r="O40" s="5"/>
      <c r="P40" s="5"/>
      <c r="Q40" s="5"/>
      <c r="R40" s="5"/>
      <c r="S40" s="5"/>
      <c r="T40" s="5"/>
      <c r="U40" s="5"/>
      <c r="V40" s="5"/>
      <c r="W40" s="5"/>
      <c r="X40" s="5"/>
      <c r="Y40" s="5"/>
      <c r="Z40" s="5"/>
      <c r="AA40" s="5"/>
      <c r="AB40" s="5"/>
    </row>
    <row r="41" spans="1:28" ht="45" x14ac:dyDescent="0.2">
      <c r="A41" s="9" t="str">
        <f t="shared" si="2"/>
        <v>SKILL-039</v>
      </c>
      <c r="B41" s="9" t="str">
        <f t="shared" si="0"/>
        <v>ARMAS DE PÓLVORA - F|F</v>
      </c>
      <c r="C41" s="9" t="s">
        <v>132</v>
      </c>
      <c r="D41" s="9" t="s">
        <v>127</v>
      </c>
      <c r="E41" s="9" t="s">
        <v>50</v>
      </c>
      <c r="F41" s="9" t="s">
        <v>50</v>
      </c>
      <c r="G41" s="9" t="str">
        <f t="shared" si="4"/>
        <v>DX</v>
      </c>
      <c r="H41" s="9" t="s">
        <v>130</v>
      </c>
      <c r="I41" s="12" t="s">
        <v>41</v>
      </c>
      <c r="J41" s="13">
        <v>49</v>
      </c>
      <c r="K41" s="9" t="s">
        <v>133</v>
      </c>
      <c r="L41" s="9"/>
      <c r="M41" s="5"/>
      <c r="N41" s="5"/>
      <c r="O41" s="5"/>
      <c r="P41" s="5"/>
      <c r="Q41" s="5"/>
      <c r="R41" s="5"/>
      <c r="S41" s="5"/>
      <c r="T41" s="5"/>
      <c r="U41" s="5"/>
      <c r="V41" s="5"/>
      <c r="W41" s="5"/>
      <c r="X41" s="5"/>
      <c r="Y41" s="5"/>
      <c r="Z41" s="5"/>
      <c r="AA41" s="5"/>
      <c r="AB41" s="5"/>
    </row>
    <row r="42" spans="1:28" ht="67.5" x14ac:dyDescent="0.2">
      <c r="A42" s="9" t="str">
        <f t="shared" si="2"/>
        <v>SKILL-040</v>
      </c>
      <c r="B42" s="9" t="str">
        <f t="shared" si="0"/>
        <v>ZARABATANA - F|D</v>
      </c>
      <c r="C42" s="9" t="s">
        <v>134</v>
      </c>
      <c r="D42" s="9" t="s">
        <v>127</v>
      </c>
      <c r="E42" s="9" t="s">
        <v>50</v>
      </c>
      <c r="F42" s="9" t="s">
        <v>39</v>
      </c>
      <c r="G42" s="9" t="str">
        <f t="shared" si="4"/>
        <v>DX</v>
      </c>
      <c r="H42" s="9" t="s">
        <v>105</v>
      </c>
      <c r="I42" s="12" t="s">
        <v>41</v>
      </c>
      <c r="J42" s="13">
        <v>49</v>
      </c>
      <c r="K42" s="9" t="s">
        <v>135</v>
      </c>
      <c r="L42" s="9"/>
      <c r="M42" s="5"/>
      <c r="N42" s="5"/>
      <c r="O42" s="5"/>
      <c r="P42" s="5"/>
      <c r="Q42" s="5"/>
      <c r="R42" s="5"/>
      <c r="S42" s="5"/>
      <c r="T42" s="5"/>
      <c r="U42" s="5"/>
      <c r="V42" s="5"/>
      <c r="W42" s="5"/>
      <c r="X42" s="5"/>
      <c r="Y42" s="5"/>
      <c r="Z42" s="5"/>
      <c r="AA42" s="5"/>
      <c r="AB42" s="5"/>
    </row>
    <row r="43" spans="1:28" ht="225" x14ac:dyDescent="0.2">
      <c r="A43" s="9" t="str">
        <f t="shared" si="2"/>
        <v>SKILL-041</v>
      </c>
      <c r="B43" s="9" t="str">
        <f t="shared" si="0"/>
        <v>BOLADEIRAS - F|M</v>
      </c>
      <c r="C43" s="9" t="s">
        <v>136</v>
      </c>
      <c r="D43" s="9" t="s">
        <v>127</v>
      </c>
      <c r="E43" s="9" t="s">
        <v>50</v>
      </c>
      <c r="F43" s="9" t="s">
        <v>38</v>
      </c>
      <c r="G43" s="9" t="str">
        <f t="shared" si="4"/>
        <v>DX</v>
      </c>
      <c r="H43" s="9"/>
      <c r="I43" s="12" t="s">
        <v>41</v>
      </c>
      <c r="J43" s="13">
        <v>49</v>
      </c>
      <c r="K43" s="9" t="s">
        <v>137</v>
      </c>
      <c r="L43" s="9"/>
      <c r="M43" s="5"/>
      <c r="N43" s="5"/>
      <c r="O43" s="5"/>
      <c r="P43" s="5"/>
      <c r="Q43" s="5"/>
      <c r="R43" s="5"/>
      <c r="S43" s="5"/>
      <c r="T43" s="5"/>
      <c r="U43" s="5"/>
      <c r="V43" s="5"/>
      <c r="W43" s="5"/>
      <c r="X43" s="5"/>
      <c r="Y43" s="5"/>
      <c r="Z43" s="5"/>
      <c r="AA43" s="5"/>
      <c r="AB43" s="5"/>
    </row>
    <row r="44" spans="1:28" ht="45" x14ac:dyDescent="0.2">
      <c r="A44" s="9" t="str">
        <f t="shared" si="2"/>
        <v>SKILL-042</v>
      </c>
      <c r="B44" s="9" t="str">
        <f t="shared" si="0"/>
        <v>ARCO - F|D</v>
      </c>
      <c r="C44" s="9" t="s">
        <v>138</v>
      </c>
      <c r="D44" s="9" t="s">
        <v>127</v>
      </c>
      <c r="E44" s="9" t="s">
        <v>50</v>
      </c>
      <c r="F44" s="9" t="s">
        <v>39</v>
      </c>
      <c r="G44" s="9" t="str">
        <f t="shared" si="4"/>
        <v>DX</v>
      </c>
      <c r="H44" s="9" t="s">
        <v>105</v>
      </c>
      <c r="I44" s="12" t="s">
        <v>41</v>
      </c>
      <c r="J44" s="13">
        <v>50</v>
      </c>
      <c r="K44" s="9" t="s">
        <v>139</v>
      </c>
      <c r="L44" s="9"/>
      <c r="M44" s="5"/>
      <c r="N44" s="5"/>
      <c r="O44" s="5"/>
      <c r="P44" s="5"/>
      <c r="Q44" s="5"/>
      <c r="R44" s="5"/>
      <c r="S44" s="5"/>
      <c r="T44" s="5"/>
      <c r="U44" s="5"/>
      <c r="V44" s="5"/>
      <c r="W44" s="5"/>
      <c r="X44" s="5"/>
      <c r="Y44" s="5"/>
      <c r="Z44" s="5"/>
      <c r="AA44" s="5"/>
      <c r="AB44" s="5"/>
    </row>
    <row r="45" spans="1:28" ht="78.75" x14ac:dyDescent="0.2">
      <c r="A45" s="9" t="str">
        <f t="shared" si="2"/>
        <v>SKILL-043</v>
      </c>
      <c r="B45" s="9" t="str">
        <f t="shared" si="0"/>
        <v>BRIGA - F|F</v>
      </c>
      <c r="C45" s="9" t="s">
        <v>140</v>
      </c>
      <c r="D45" s="9" t="s">
        <v>127</v>
      </c>
      <c r="E45" s="9" t="s">
        <v>50</v>
      </c>
      <c r="F45" s="9" t="s">
        <v>50</v>
      </c>
      <c r="G45" s="9" t="str">
        <f t="shared" si="4"/>
        <v>DX</v>
      </c>
      <c r="H45" s="9"/>
      <c r="I45" s="12" t="s">
        <v>41</v>
      </c>
      <c r="J45" s="9">
        <v>50</v>
      </c>
      <c r="K45" s="9" t="s">
        <v>141</v>
      </c>
      <c r="L45" s="9"/>
      <c r="M45" s="5"/>
      <c r="N45" s="5"/>
      <c r="O45" s="5"/>
      <c r="P45" s="5"/>
      <c r="Q45" s="5"/>
      <c r="R45" s="5"/>
      <c r="S45" s="5"/>
      <c r="T45" s="5"/>
      <c r="U45" s="5"/>
      <c r="V45" s="5"/>
      <c r="W45" s="5"/>
      <c r="X45" s="5"/>
      <c r="Y45" s="5"/>
      <c r="Z45" s="5"/>
      <c r="AA45" s="5"/>
      <c r="AB45" s="5"/>
    </row>
    <row r="46" spans="1:28" ht="33.75" x14ac:dyDescent="0.2">
      <c r="A46" s="9" t="str">
        <f t="shared" si="2"/>
        <v>SKILL-044</v>
      </c>
      <c r="B46" s="9" t="str">
        <f t="shared" si="0"/>
        <v>ESPADAS LONGAS - F|M</v>
      </c>
      <c r="C46" s="9" t="s">
        <v>142</v>
      </c>
      <c r="D46" s="9" t="s">
        <v>127</v>
      </c>
      <c r="E46" s="9" t="s">
        <v>50</v>
      </c>
      <c r="F46" s="9" t="s">
        <v>38</v>
      </c>
      <c r="G46" s="9" t="str">
        <f t="shared" si="4"/>
        <v>DX</v>
      </c>
      <c r="H46" s="9" t="s">
        <v>143</v>
      </c>
      <c r="I46" s="12" t="s">
        <v>41</v>
      </c>
      <c r="J46" s="9">
        <v>50</v>
      </c>
      <c r="K46" s="9" t="s">
        <v>144</v>
      </c>
      <c r="L46" s="9"/>
      <c r="M46" s="5"/>
      <c r="N46" s="5"/>
      <c r="O46" s="5"/>
      <c r="P46" s="5"/>
      <c r="Q46" s="5"/>
      <c r="R46" s="5"/>
      <c r="S46" s="5"/>
      <c r="T46" s="5"/>
      <c r="U46" s="5"/>
      <c r="V46" s="5"/>
      <c r="W46" s="5"/>
      <c r="X46" s="5"/>
      <c r="Y46" s="5"/>
      <c r="Z46" s="5"/>
      <c r="AA46" s="5"/>
      <c r="AB46" s="5"/>
    </row>
    <row r="47" spans="1:28" ht="56.25" x14ac:dyDescent="0.2">
      <c r="A47" s="9" t="str">
        <f t="shared" si="2"/>
        <v>SKILL-045</v>
      </c>
      <c r="B47" s="9" t="str">
        <f t="shared" si="0"/>
        <v>BROQUEL - F|F</v>
      </c>
      <c r="C47" s="9" t="s">
        <v>145</v>
      </c>
      <c r="D47" s="9" t="s">
        <v>127</v>
      </c>
      <c r="E47" s="9" t="s">
        <v>50</v>
      </c>
      <c r="F47" s="9" t="s">
        <v>50</v>
      </c>
      <c r="G47" s="9" t="str">
        <f t="shared" si="4"/>
        <v>DX</v>
      </c>
      <c r="H47" s="9" t="s">
        <v>146</v>
      </c>
      <c r="I47" s="12" t="s">
        <v>41</v>
      </c>
      <c r="J47" s="9">
        <v>50</v>
      </c>
      <c r="K47" s="9" t="s">
        <v>147</v>
      </c>
      <c r="L47" s="9"/>
      <c r="M47" s="5"/>
      <c r="N47" s="5"/>
      <c r="O47" s="5"/>
      <c r="P47" s="5"/>
      <c r="Q47" s="5"/>
      <c r="R47" s="5"/>
      <c r="S47" s="5"/>
      <c r="T47" s="5"/>
      <c r="U47" s="5"/>
      <c r="V47" s="5"/>
      <c r="W47" s="5"/>
      <c r="X47" s="5"/>
      <c r="Y47" s="5"/>
      <c r="Z47" s="5"/>
      <c r="AA47" s="5"/>
      <c r="AB47" s="5"/>
    </row>
    <row r="48" spans="1:28" ht="45" x14ac:dyDescent="0.2">
      <c r="A48" s="9" t="str">
        <f t="shared" si="2"/>
        <v>SKILL-046</v>
      </c>
      <c r="B48" s="9" t="str">
        <f t="shared" si="0"/>
        <v>BESTA - F|F</v>
      </c>
      <c r="C48" s="9" t="s">
        <v>148</v>
      </c>
      <c r="D48" s="9" t="s">
        <v>127</v>
      </c>
      <c r="E48" s="9" t="s">
        <v>50</v>
      </c>
      <c r="F48" s="9" t="s">
        <v>50</v>
      </c>
      <c r="G48" s="9" t="str">
        <f t="shared" si="4"/>
        <v>DX</v>
      </c>
      <c r="H48" s="9" t="s">
        <v>130</v>
      </c>
      <c r="I48" s="12" t="s">
        <v>41</v>
      </c>
      <c r="J48" s="9">
        <v>50</v>
      </c>
      <c r="K48" s="9" t="s">
        <v>149</v>
      </c>
      <c r="L48" s="9"/>
      <c r="M48" s="5"/>
      <c r="N48" s="5"/>
      <c r="O48" s="5"/>
      <c r="P48" s="5"/>
      <c r="Q48" s="5"/>
      <c r="R48" s="5"/>
      <c r="S48" s="5"/>
      <c r="T48" s="5"/>
      <c r="U48" s="5"/>
      <c r="V48" s="5"/>
      <c r="W48" s="5"/>
      <c r="X48" s="5"/>
      <c r="Y48" s="5"/>
      <c r="Z48" s="5"/>
      <c r="AA48" s="5"/>
      <c r="AB48" s="5"/>
    </row>
    <row r="49" spans="1:28" ht="157.5" x14ac:dyDescent="0.2">
      <c r="A49" s="9" t="str">
        <f t="shared" si="2"/>
        <v>SKILL-047</v>
      </c>
      <c r="B49" s="9" t="str">
        <f t="shared" si="0"/>
        <v>SACAR RAPIDO | FACAS - F|F</v>
      </c>
      <c r="C49" s="9" t="s">
        <v>150</v>
      </c>
      <c r="D49" s="9" t="s">
        <v>127</v>
      </c>
      <c r="E49" s="9" t="s">
        <v>50</v>
      </c>
      <c r="F49" s="9" t="s">
        <v>50</v>
      </c>
      <c r="G49" s="9" t="str">
        <f t="shared" si="4"/>
        <v>DX</v>
      </c>
      <c r="H49" s="9"/>
      <c r="I49" s="12" t="s">
        <v>41</v>
      </c>
      <c r="J49" s="9">
        <v>50</v>
      </c>
      <c r="K49" s="9" t="s">
        <v>151</v>
      </c>
      <c r="L49" s="9"/>
      <c r="M49" s="5"/>
      <c r="N49" s="5"/>
      <c r="O49" s="5"/>
      <c r="P49" s="5"/>
      <c r="Q49" s="5"/>
      <c r="R49" s="5"/>
      <c r="S49" s="5"/>
      <c r="T49" s="5"/>
      <c r="U49" s="5"/>
      <c r="V49" s="5"/>
      <c r="W49" s="5"/>
      <c r="X49" s="5"/>
      <c r="Y49" s="5"/>
      <c r="Z49" s="5"/>
      <c r="AA49" s="5"/>
      <c r="AB49" s="5"/>
    </row>
    <row r="50" spans="1:28" ht="157.5" x14ac:dyDescent="0.2">
      <c r="A50" s="9" t="str">
        <f t="shared" si="2"/>
        <v>SKILL-048</v>
      </c>
      <c r="B50" s="9" t="str">
        <f t="shared" si="0"/>
        <v>SACAR RAPIDO | ESPADAS - F|F</v>
      </c>
      <c r="C50" s="9" t="s">
        <v>152</v>
      </c>
      <c r="D50" s="9" t="s">
        <v>127</v>
      </c>
      <c r="E50" s="9" t="s">
        <v>50</v>
      </c>
      <c r="F50" s="9" t="s">
        <v>50</v>
      </c>
      <c r="G50" s="9" t="str">
        <f t="shared" si="4"/>
        <v>DX</v>
      </c>
      <c r="H50" s="9"/>
      <c r="I50" s="12" t="s">
        <v>41</v>
      </c>
      <c r="J50" s="9">
        <v>50</v>
      </c>
      <c r="K50" s="9" t="s">
        <v>151</v>
      </c>
      <c r="L50" s="9"/>
      <c r="M50" s="5"/>
      <c r="N50" s="5"/>
      <c r="O50" s="5"/>
      <c r="P50" s="5"/>
      <c r="Q50" s="5"/>
      <c r="R50" s="5"/>
      <c r="S50" s="5"/>
      <c r="T50" s="5"/>
      <c r="U50" s="5"/>
      <c r="V50" s="5"/>
      <c r="W50" s="5"/>
      <c r="X50" s="5"/>
      <c r="Y50" s="5"/>
      <c r="Z50" s="5"/>
      <c r="AA50" s="5"/>
      <c r="AB50" s="5"/>
    </row>
    <row r="51" spans="1:28" ht="157.5" x14ac:dyDescent="0.2">
      <c r="A51" s="9" t="str">
        <f t="shared" si="2"/>
        <v>SKILL-049</v>
      </c>
      <c r="B51" s="9" t="str">
        <f t="shared" si="0"/>
        <v>SACAR RAPIDO | MACHADOS/MAÇA - F|F</v>
      </c>
      <c r="C51" s="9" t="s">
        <v>153</v>
      </c>
      <c r="D51" s="9" t="s">
        <v>127</v>
      </c>
      <c r="E51" s="9" t="s">
        <v>50</v>
      </c>
      <c r="F51" s="9" t="s">
        <v>50</v>
      </c>
      <c r="G51" s="9" t="str">
        <f t="shared" si="4"/>
        <v>DX</v>
      </c>
      <c r="H51" s="9"/>
      <c r="I51" s="12" t="s">
        <v>41</v>
      </c>
      <c r="J51" s="9">
        <v>50</v>
      </c>
      <c r="K51" s="9" t="s">
        <v>151</v>
      </c>
      <c r="L51" s="9"/>
      <c r="M51" s="5"/>
      <c r="N51" s="5"/>
      <c r="O51" s="5"/>
      <c r="P51" s="5"/>
      <c r="Q51" s="5"/>
      <c r="R51" s="5"/>
      <c r="S51" s="5"/>
      <c r="T51" s="5"/>
      <c r="U51" s="5"/>
      <c r="V51" s="5"/>
      <c r="W51" s="5"/>
      <c r="X51" s="5"/>
      <c r="Y51" s="5"/>
      <c r="Z51" s="5"/>
      <c r="AA51" s="5"/>
      <c r="AB51" s="5"/>
    </row>
    <row r="52" spans="1:28" ht="157.5" x14ac:dyDescent="0.2">
      <c r="A52" s="9" t="str">
        <f t="shared" si="2"/>
        <v>SKILL-050</v>
      </c>
      <c r="B52" s="9" t="str">
        <f t="shared" si="0"/>
        <v>SACAR RAPIDO | LANÇAS/BASTÕES - F|F</v>
      </c>
      <c r="C52" s="9" t="s">
        <v>154</v>
      </c>
      <c r="D52" s="9" t="s">
        <v>127</v>
      </c>
      <c r="E52" s="9" t="s">
        <v>50</v>
      </c>
      <c r="F52" s="9" t="s">
        <v>50</v>
      </c>
      <c r="G52" s="9" t="str">
        <f t="shared" si="4"/>
        <v>DX</v>
      </c>
      <c r="H52" s="9"/>
      <c r="I52" s="12" t="s">
        <v>41</v>
      </c>
      <c r="J52" s="9">
        <v>50</v>
      </c>
      <c r="K52" s="9" t="s">
        <v>151</v>
      </c>
      <c r="L52" s="9"/>
      <c r="M52" s="5"/>
      <c r="N52" s="5"/>
      <c r="O52" s="5"/>
      <c r="P52" s="5"/>
      <c r="Q52" s="5"/>
      <c r="R52" s="5"/>
      <c r="S52" s="5"/>
      <c r="T52" s="5"/>
      <c r="U52" s="5"/>
      <c r="V52" s="5"/>
      <c r="W52" s="5"/>
      <c r="X52" s="5"/>
      <c r="Y52" s="5"/>
      <c r="Z52" s="5"/>
      <c r="AA52" s="5"/>
      <c r="AB52" s="5"/>
    </row>
    <row r="53" spans="1:28" ht="157.5" x14ac:dyDescent="0.2">
      <c r="A53" s="9" t="str">
        <f t="shared" si="2"/>
        <v>SKILL-051</v>
      </c>
      <c r="B53" s="9" t="str">
        <f t="shared" si="0"/>
        <v>SACAR RÁPIDO | MANGUAIS - F|F</v>
      </c>
      <c r="C53" s="9" t="s">
        <v>155</v>
      </c>
      <c r="D53" s="9" t="s">
        <v>127</v>
      </c>
      <c r="E53" s="9" t="s">
        <v>50</v>
      </c>
      <c r="F53" s="9" t="s">
        <v>50</v>
      </c>
      <c r="G53" s="9" t="str">
        <f t="shared" si="4"/>
        <v>DX</v>
      </c>
      <c r="H53" s="9"/>
      <c r="I53" s="12" t="s">
        <v>41</v>
      </c>
      <c r="J53" s="9">
        <v>50</v>
      </c>
      <c r="K53" s="9" t="s">
        <v>151</v>
      </c>
      <c r="L53" s="9"/>
      <c r="M53" s="5"/>
      <c r="N53" s="5"/>
      <c r="O53" s="5"/>
      <c r="P53" s="5"/>
      <c r="Q53" s="5"/>
      <c r="R53" s="5"/>
      <c r="S53" s="5"/>
      <c r="T53" s="5"/>
      <c r="U53" s="5"/>
      <c r="V53" s="5"/>
      <c r="W53" s="5"/>
      <c r="X53" s="5"/>
      <c r="Y53" s="5"/>
      <c r="Z53" s="5"/>
      <c r="AA53" s="5"/>
      <c r="AB53" s="5"/>
    </row>
    <row r="54" spans="1:28" ht="157.5" x14ac:dyDescent="0.2">
      <c r="A54" s="9" t="str">
        <f t="shared" si="2"/>
        <v>SKILL-052</v>
      </c>
      <c r="B54" s="9" t="str">
        <f t="shared" si="0"/>
        <v>SACAR RÁPIDO | CHICOTES - F|F</v>
      </c>
      <c r="C54" s="9" t="s">
        <v>156</v>
      </c>
      <c r="D54" s="9" t="s">
        <v>127</v>
      </c>
      <c r="E54" s="9" t="s">
        <v>50</v>
      </c>
      <c r="F54" s="9" t="s">
        <v>50</v>
      </c>
      <c r="G54" s="9" t="str">
        <f t="shared" si="4"/>
        <v>DX</v>
      </c>
      <c r="H54" s="9"/>
      <c r="I54" s="12" t="s">
        <v>41</v>
      </c>
      <c r="J54" s="9">
        <v>50</v>
      </c>
      <c r="K54" s="9" t="s">
        <v>151</v>
      </c>
      <c r="L54" s="9"/>
      <c r="M54" s="5"/>
      <c r="N54" s="5"/>
      <c r="O54" s="5"/>
      <c r="P54" s="5"/>
      <c r="Q54" s="5"/>
      <c r="R54" s="5"/>
      <c r="S54" s="5"/>
      <c r="T54" s="5"/>
      <c r="U54" s="5"/>
      <c r="V54" s="5"/>
      <c r="W54" s="5"/>
      <c r="X54" s="5"/>
      <c r="Y54" s="5"/>
      <c r="Z54" s="5"/>
      <c r="AA54" s="5"/>
      <c r="AB54" s="5"/>
    </row>
    <row r="55" spans="1:28" ht="157.5" x14ac:dyDescent="0.2">
      <c r="A55" s="9" t="str">
        <f t="shared" si="2"/>
        <v>SKILL-053</v>
      </c>
      <c r="B55" s="9" t="str">
        <f t="shared" si="0"/>
        <v>SACAR RÁPIDO | ARMAS EXÓTICAS - F|F</v>
      </c>
      <c r="C55" s="9" t="s">
        <v>157</v>
      </c>
      <c r="D55" s="9" t="s">
        <v>127</v>
      </c>
      <c r="E55" s="9" t="s">
        <v>50</v>
      </c>
      <c r="F55" s="9" t="s">
        <v>50</v>
      </c>
      <c r="G55" s="9" t="str">
        <f t="shared" si="4"/>
        <v>DX</v>
      </c>
      <c r="H55" s="9"/>
      <c r="I55" s="12" t="s">
        <v>41</v>
      </c>
      <c r="J55" s="9">
        <v>50</v>
      </c>
      <c r="K55" s="9" t="s">
        <v>151</v>
      </c>
      <c r="L55" s="9"/>
      <c r="M55" s="5"/>
      <c r="N55" s="5"/>
      <c r="O55" s="5"/>
      <c r="P55" s="5"/>
      <c r="Q55" s="5"/>
      <c r="R55" s="5"/>
      <c r="S55" s="5"/>
      <c r="T55" s="5"/>
      <c r="U55" s="5"/>
      <c r="V55" s="5"/>
      <c r="W55" s="5"/>
      <c r="X55" s="5"/>
      <c r="Y55" s="5"/>
      <c r="Z55" s="5"/>
      <c r="AA55" s="5"/>
      <c r="AB55" s="5"/>
    </row>
    <row r="56" spans="1:28" ht="157.5" x14ac:dyDescent="0.2">
      <c r="A56" s="9" t="str">
        <f t="shared" si="2"/>
        <v>SKILL-054</v>
      </c>
      <c r="B56" s="9" t="str">
        <f t="shared" si="0"/>
        <v>SACAR RAPIDO | ARCOS - F|F</v>
      </c>
      <c r="C56" s="9" t="s">
        <v>158</v>
      </c>
      <c r="D56" s="9" t="s">
        <v>127</v>
      </c>
      <c r="E56" s="9" t="s">
        <v>50</v>
      </c>
      <c r="F56" s="9" t="s">
        <v>50</v>
      </c>
      <c r="G56" s="9" t="str">
        <f t="shared" si="4"/>
        <v>DX</v>
      </c>
      <c r="H56" s="9"/>
      <c r="I56" s="12" t="s">
        <v>41</v>
      </c>
      <c r="J56" s="9">
        <v>50</v>
      </c>
      <c r="K56" s="9" t="s">
        <v>151</v>
      </c>
      <c r="L56" s="9"/>
      <c r="M56" s="5"/>
      <c r="N56" s="5"/>
      <c r="O56" s="5"/>
      <c r="P56" s="5"/>
      <c r="Q56" s="5"/>
      <c r="R56" s="5"/>
      <c r="S56" s="5"/>
      <c r="T56" s="5"/>
      <c r="U56" s="5"/>
      <c r="V56" s="5"/>
      <c r="W56" s="5"/>
      <c r="X56" s="5"/>
      <c r="Y56" s="5"/>
      <c r="Z56" s="5"/>
      <c r="AA56" s="5"/>
      <c r="AB56" s="5"/>
    </row>
    <row r="57" spans="1:28" ht="157.5" x14ac:dyDescent="0.2">
      <c r="A57" s="9" t="str">
        <f t="shared" si="2"/>
        <v>SKILL-055</v>
      </c>
      <c r="B57" s="9" t="str">
        <f t="shared" si="0"/>
        <v>SACAR | RAPIDO FLECHAS - F|F</v>
      </c>
      <c r="C57" s="9" t="s">
        <v>159</v>
      </c>
      <c r="D57" s="9" t="s">
        <v>127</v>
      </c>
      <c r="E57" s="9" t="s">
        <v>50</v>
      </c>
      <c r="F57" s="9" t="s">
        <v>50</v>
      </c>
      <c r="G57" s="9" t="str">
        <f t="shared" si="4"/>
        <v>DX</v>
      </c>
      <c r="H57" s="9"/>
      <c r="I57" s="12" t="s">
        <v>41</v>
      </c>
      <c r="J57" s="9">
        <v>50</v>
      </c>
      <c r="K57" s="9" t="s">
        <v>151</v>
      </c>
      <c r="L57" s="9"/>
      <c r="M57" s="5"/>
      <c r="N57" s="5"/>
      <c r="O57" s="5"/>
      <c r="P57" s="5"/>
      <c r="Q57" s="5"/>
      <c r="R57" s="5"/>
      <c r="S57" s="5"/>
      <c r="T57" s="5"/>
      <c r="U57" s="5"/>
      <c r="V57" s="5"/>
      <c r="W57" s="5"/>
      <c r="X57" s="5"/>
      <c r="Y57" s="5"/>
      <c r="Z57" s="5"/>
      <c r="AA57" s="5"/>
      <c r="AB57" s="5"/>
    </row>
    <row r="58" spans="1:28" ht="157.5" x14ac:dyDescent="0.2">
      <c r="A58" s="9" t="str">
        <f t="shared" si="2"/>
        <v>SKILL-056</v>
      </c>
      <c r="B58" s="9" t="str">
        <f t="shared" si="0"/>
        <v>SACAR RAPIDO | ARMAS DE PÓLVORA - F|F</v>
      </c>
      <c r="C58" s="9" t="s">
        <v>160</v>
      </c>
      <c r="D58" s="9" t="s">
        <v>127</v>
      </c>
      <c r="E58" s="9" t="s">
        <v>50</v>
      </c>
      <c r="F58" s="9" t="s">
        <v>50</v>
      </c>
      <c r="G58" s="9" t="str">
        <f t="shared" si="4"/>
        <v>DX</v>
      </c>
      <c r="H58" s="9"/>
      <c r="I58" s="12" t="s">
        <v>41</v>
      </c>
      <c r="J58" s="9">
        <v>50</v>
      </c>
      <c r="K58" s="9" t="s">
        <v>151</v>
      </c>
      <c r="L58" s="9"/>
      <c r="M58" s="5"/>
      <c r="N58" s="5"/>
      <c r="O58" s="5"/>
      <c r="P58" s="5"/>
      <c r="Q58" s="5"/>
      <c r="R58" s="5"/>
      <c r="S58" s="5"/>
      <c r="T58" s="5"/>
      <c r="U58" s="5"/>
      <c r="V58" s="5"/>
      <c r="W58" s="5"/>
      <c r="X58" s="5"/>
      <c r="Y58" s="5"/>
      <c r="Z58" s="5"/>
      <c r="AA58" s="5"/>
      <c r="AB58" s="5"/>
    </row>
    <row r="59" spans="1:28" ht="157.5" x14ac:dyDescent="0.2">
      <c r="A59" s="9" t="str">
        <f t="shared" si="2"/>
        <v>SKILL-057</v>
      </c>
      <c r="B59" s="9" t="str">
        <f t="shared" si="0"/>
        <v>SACAR RAPIDO | ARMAS DE FOGO - F|F</v>
      </c>
      <c r="C59" s="9" t="s">
        <v>161</v>
      </c>
      <c r="D59" s="9" t="s">
        <v>127</v>
      </c>
      <c r="E59" s="9" t="s">
        <v>50</v>
      </c>
      <c r="F59" s="9" t="s">
        <v>50</v>
      </c>
      <c r="G59" s="9" t="str">
        <f t="shared" si="4"/>
        <v>DX</v>
      </c>
      <c r="H59" s="9"/>
      <c r="I59" s="12" t="s">
        <v>41</v>
      </c>
      <c r="J59" s="9">
        <v>50</v>
      </c>
      <c r="K59" s="9" t="s">
        <v>151</v>
      </c>
      <c r="L59" s="9"/>
      <c r="M59" s="5"/>
      <c r="N59" s="5"/>
      <c r="O59" s="5"/>
      <c r="P59" s="5"/>
      <c r="Q59" s="5"/>
      <c r="R59" s="5"/>
      <c r="S59" s="5"/>
      <c r="T59" s="5"/>
      <c r="U59" s="5"/>
      <c r="V59" s="5"/>
      <c r="W59" s="5"/>
      <c r="X59" s="5"/>
      <c r="Y59" s="5"/>
      <c r="Z59" s="5"/>
      <c r="AA59" s="5"/>
      <c r="AB59" s="5"/>
    </row>
    <row r="60" spans="1:28" ht="123.75" x14ac:dyDescent="0.2">
      <c r="A60" s="9" t="str">
        <f t="shared" si="2"/>
        <v>SKILL-058</v>
      </c>
      <c r="B60" s="9" t="str">
        <f t="shared" si="0"/>
        <v>ESGRIMA - F|M</v>
      </c>
      <c r="C60" s="9" t="s">
        <v>162</v>
      </c>
      <c r="D60" s="9" t="s">
        <v>127</v>
      </c>
      <c r="E60" s="9" t="s">
        <v>50</v>
      </c>
      <c r="F60" s="9" t="s">
        <v>38</v>
      </c>
      <c r="G60" s="9" t="str">
        <f t="shared" si="4"/>
        <v>DX</v>
      </c>
      <c r="H60" s="9" t="s">
        <v>163</v>
      </c>
      <c r="I60" s="12" t="s">
        <v>41</v>
      </c>
      <c r="J60" s="9">
        <v>50</v>
      </c>
      <c r="K60" s="9" t="s">
        <v>164</v>
      </c>
      <c r="L60" s="9"/>
      <c r="M60" s="5"/>
      <c r="N60" s="5"/>
      <c r="O60" s="5"/>
      <c r="P60" s="5"/>
      <c r="Q60" s="5"/>
      <c r="R60" s="5"/>
      <c r="S60" s="5"/>
      <c r="T60" s="5"/>
      <c r="U60" s="5"/>
      <c r="V60" s="5"/>
      <c r="W60" s="5"/>
      <c r="X60" s="5"/>
      <c r="Y60" s="5"/>
      <c r="Z60" s="5"/>
      <c r="AA60" s="5"/>
      <c r="AB60" s="5"/>
    </row>
    <row r="61" spans="1:28" ht="90" x14ac:dyDescent="0.2">
      <c r="A61" s="9" t="str">
        <f t="shared" si="2"/>
        <v>SKILL-059</v>
      </c>
      <c r="B61" s="9" t="str">
        <f t="shared" si="0"/>
        <v>MANGUAL - F|D</v>
      </c>
      <c r="C61" s="9" t="s">
        <v>165</v>
      </c>
      <c r="D61" s="9" t="s">
        <v>127</v>
      </c>
      <c r="E61" s="9" t="s">
        <v>50</v>
      </c>
      <c r="F61" s="9" t="s">
        <v>39</v>
      </c>
      <c r="G61" s="9" t="str">
        <f t="shared" si="4"/>
        <v>DX</v>
      </c>
      <c r="H61" s="9" t="s">
        <v>105</v>
      </c>
      <c r="I61" s="12" t="s">
        <v>41</v>
      </c>
      <c r="J61" s="9">
        <v>50</v>
      </c>
      <c r="K61" s="9" t="s">
        <v>166</v>
      </c>
      <c r="L61" s="9"/>
      <c r="M61" s="5"/>
      <c r="N61" s="5"/>
      <c r="O61" s="5"/>
      <c r="P61" s="5"/>
      <c r="Q61" s="5"/>
      <c r="R61" s="5"/>
      <c r="S61" s="5"/>
      <c r="T61" s="5"/>
      <c r="U61" s="5"/>
      <c r="V61" s="5"/>
      <c r="W61" s="5"/>
      <c r="X61" s="5"/>
      <c r="Y61" s="5"/>
      <c r="Z61" s="5"/>
      <c r="AA61" s="5"/>
      <c r="AB61" s="5"/>
    </row>
    <row r="62" spans="1:28" ht="168.75" x14ac:dyDescent="0.2">
      <c r="A62" s="9" t="str">
        <f t="shared" si="2"/>
        <v>SKILL-060</v>
      </c>
      <c r="B62" s="9" t="str">
        <f t="shared" si="0"/>
        <v>ARTILHARIA | BALESTRA - F|M</v>
      </c>
      <c r="C62" s="9" t="s">
        <v>167</v>
      </c>
      <c r="D62" s="9" t="s">
        <v>127</v>
      </c>
      <c r="E62" s="9" t="s">
        <v>50</v>
      </c>
      <c r="F62" s="9" t="s">
        <v>38</v>
      </c>
      <c r="G62" s="9" t="str">
        <f t="shared" si="4"/>
        <v>DX</v>
      </c>
      <c r="H62" s="9" t="s">
        <v>168</v>
      </c>
      <c r="I62" s="12" t="s">
        <v>41</v>
      </c>
      <c r="J62" s="9">
        <v>50</v>
      </c>
      <c r="K62" s="9" t="s">
        <v>169</v>
      </c>
      <c r="L62" s="9"/>
      <c r="M62" s="5"/>
      <c r="N62" s="5"/>
      <c r="O62" s="5"/>
      <c r="P62" s="5"/>
      <c r="Q62" s="5"/>
      <c r="R62" s="5"/>
      <c r="S62" s="5"/>
      <c r="T62" s="5"/>
      <c r="U62" s="5"/>
      <c r="V62" s="5"/>
      <c r="W62" s="5"/>
      <c r="X62" s="5"/>
      <c r="Y62" s="5"/>
      <c r="Z62" s="5"/>
      <c r="AA62" s="5"/>
      <c r="AB62" s="5"/>
    </row>
    <row r="63" spans="1:28" ht="168.75" x14ac:dyDescent="0.2">
      <c r="A63" s="9" t="str">
        <f t="shared" si="2"/>
        <v>SKILL-061</v>
      </c>
      <c r="B63" s="9" t="str">
        <f t="shared" si="0"/>
        <v>ARTILHARIA | CATAPULTA - F|M</v>
      </c>
      <c r="C63" s="9" t="s">
        <v>170</v>
      </c>
      <c r="D63" s="9" t="s">
        <v>127</v>
      </c>
      <c r="E63" s="9" t="s">
        <v>50</v>
      </c>
      <c r="F63" s="9" t="s">
        <v>38</v>
      </c>
      <c r="G63" s="9" t="str">
        <f t="shared" si="4"/>
        <v>DX</v>
      </c>
      <c r="H63" s="9" t="s">
        <v>168</v>
      </c>
      <c r="I63" s="12" t="s">
        <v>41</v>
      </c>
      <c r="J63" s="9">
        <v>50</v>
      </c>
      <c r="K63" s="9" t="s">
        <v>169</v>
      </c>
      <c r="L63" s="9"/>
      <c r="M63" s="5"/>
      <c r="N63" s="5"/>
      <c r="O63" s="5"/>
      <c r="P63" s="5"/>
      <c r="Q63" s="5"/>
      <c r="R63" s="5"/>
      <c r="S63" s="5"/>
      <c r="T63" s="5"/>
      <c r="U63" s="5"/>
      <c r="V63" s="5"/>
      <c r="W63" s="5"/>
      <c r="X63" s="5"/>
      <c r="Y63" s="5"/>
      <c r="Z63" s="5"/>
      <c r="AA63" s="5"/>
      <c r="AB63" s="5"/>
    </row>
    <row r="64" spans="1:28" ht="168.75" x14ac:dyDescent="0.2">
      <c r="A64" s="9" t="str">
        <f t="shared" si="2"/>
        <v>SKILL-062</v>
      </c>
      <c r="B64" s="9" t="str">
        <f t="shared" si="0"/>
        <v>ARTILHARIA | CANHÃO NAVAL - F|M</v>
      </c>
      <c r="C64" s="9" t="s">
        <v>171</v>
      </c>
      <c r="D64" s="9" t="s">
        <v>127</v>
      </c>
      <c r="E64" s="9" t="s">
        <v>50</v>
      </c>
      <c r="F64" s="9" t="s">
        <v>38</v>
      </c>
      <c r="G64" s="9" t="str">
        <f t="shared" si="4"/>
        <v>DX</v>
      </c>
      <c r="H64" s="9" t="s">
        <v>168</v>
      </c>
      <c r="I64" s="12" t="s">
        <v>41</v>
      </c>
      <c r="J64" s="9">
        <v>50</v>
      </c>
      <c r="K64" s="9" t="s">
        <v>169</v>
      </c>
      <c r="L64" s="9"/>
      <c r="M64" s="5"/>
      <c r="N64" s="5"/>
      <c r="O64" s="5"/>
      <c r="P64" s="5"/>
      <c r="Q64" s="5"/>
      <c r="R64" s="5"/>
      <c r="S64" s="5"/>
      <c r="T64" s="5"/>
      <c r="U64" s="5"/>
      <c r="V64" s="5"/>
      <c r="W64" s="5"/>
      <c r="X64" s="5"/>
      <c r="Y64" s="5"/>
      <c r="Z64" s="5"/>
      <c r="AA64" s="5"/>
      <c r="AB64" s="5"/>
    </row>
    <row r="65" spans="1:28" ht="168.75" x14ac:dyDescent="0.2">
      <c r="A65" s="9" t="str">
        <f t="shared" si="2"/>
        <v>SKILL-063</v>
      </c>
      <c r="B65" s="9" t="str">
        <f t="shared" si="0"/>
        <v>ARTILHARIA | CANHÃO FERROVIÁRIO - F|M</v>
      </c>
      <c r="C65" s="9" t="s">
        <v>172</v>
      </c>
      <c r="D65" s="9" t="s">
        <v>127</v>
      </c>
      <c r="E65" s="9" t="s">
        <v>50</v>
      </c>
      <c r="F65" s="9" t="s">
        <v>38</v>
      </c>
      <c r="G65" s="9" t="str">
        <f t="shared" si="4"/>
        <v>DX</v>
      </c>
      <c r="H65" s="9" t="s">
        <v>168</v>
      </c>
      <c r="I65" s="12" t="s">
        <v>41</v>
      </c>
      <c r="J65" s="9">
        <v>50</v>
      </c>
      <c r="K65" s="9" t="s">
        <v>169</v>
      </c>
      <c r="L65" s="9"/>
      <c r="M65" s="5"/>
      <c r="N65" s="5"/>
      <c r="O65" s="5"/>
      <c r="P65" s="5"/>
      <c r="Q65" s="5"/>
      <c r="R65" s="5"/>
      <c r="S65" s="5"/>
      <c r="T65" s="5"/>
      <c r="U65" s="5"/>
      <c r="V65" s="5"/>
      <c r="W65" s="5"/>
      <c r="X65" s="5"/>
      <c r="Y65" s="5"/>
      <c r="Z65" s="5"/>
      <c r="AA65" s="5"/>
      <c r="AB65" s="5"/>
    </row>
    <row r="66" spans="1:28" ht="168.75" x14ac:dyDescent="0.2">
      <c r="A66" s="9" t="str">
        <f t="shared" si="2"/>
        <v>SKILL-064</v>
      </c>
      <c r="B66" s="9" t="str">
        <f t="shared" si="0"/>
        <v>ARTILHARIA | METRALHADORA - F|M</v>
      </c>
      <c r="C66" s="9" t="s">
        <v>173</v>
      </c>
      <c r="D66" s="9" t="s">
        <v>127</v>
      </c>
      <c r="E66" s="9" t="s">
        <v>50</v>
      </c>
      <c r="F66" s="9" t="s">
        <v>38</v>
      </c>
      <c r="G66" s="9" t="str">
        <f t="shared" si="4"/>
        <v>DX</v>
      </c>
      <c r="H66" s="9" t="s">
        <v>168</v>
      </c>
      <c r="I66" s="12" t="s">
        <v>41</v>
      </c>
      <c r="J66" s="9">
        <v>50</v>
      </c>
      <c r="K66" s="9" t="s">
        <v>169</v>
      </c>
      <c r="L66" s="9"/>
      <c r="M66" s="5"/>
      <c r="N66" s="5"/>
      <c r="O66" s="5"/>
      <c r="P66" s="5"/>
      <c r="Q66" s="5"/>
      <c r="R66" s="5"/>
      <c r="S66" s="5"/>
      <c r="T66" s="5"/>
      <c r="U66" s="5"/>
      <c r="V66" s="5"/>
      <c r="W66" s="5"/>
      <c r="X66" s="5"/>
      <c r="Y66" s="5"/>
      <c r="Z66" s="5"/>
      <c r="AA66" s="5"/>
      <c r="AB66" s="5"/>
    </row>
    <row r="67" spans="1:28" ht="168.75" x14ac:dyDescent="0.2">
      <c r="A67" s="9" t="str">
        <f t="shared" si="2"/>
        <v>SKILL-065</v>
      </c>
      <c r="B67" s="9" t="str">
        <f t="shared" si="0"/>
        <v>ARTILHARIA | FUZIL SEM RECUO - F|M</v>
      </c>
      <c r="C67" s="9" t="s">
        <v>174</v>
      </c>
      <c r="D67" s="9" t="s">
        <v>127</v>
      </c>
      <c r="E67" s="9" t="s">
        <v>50</v>
      </c>
      <c r="F67" s="9" t="s">
        <v>38</v>
      </c>
      <c r="G67" s="9" t="str">
        <f t="shared" si="4"/>
        <v>DX</v>
      </c>
      <c r="H67" s="9" t="s">
        <v>168</v>
      </c>
      <c r="I67" s="12" t="s">
        <v>41</v>
      </c>
      <c r="J67" s="9">
        <v>50</v>
      </c>
      <c r="K67" s="9" t="s">
        <v>169</v>
      </c>
      <c r="L67" s="9"/>
      <c r="M67" s="5"/>
      <c r="N67" s="5"/>
      <c r="O67" s="5"/>
      <c r="P67" s="5"/>
      <c r="Q67" s="5"/>
      <c r="R67" s="5"/>
      <c r="S67" s="5"/>
      <c r="T67" s="5"/>
      <c r="U67" s="5"/>
      <c r="V67" s="5"/>
      <c r="W67" s="5"/>
      <c r="X67" s="5"/>
      <c r="Y67" s="5"/>
      <c r="Z67" s="5"/>
      <c r="AA67" s="5"/>
      <c r="AB67" s="5"/>
    </row>
    <row r="68" spans="1:28" ht="168.75" x14ac:dyDescent="0.2">
      <c r="A68" s="9" t="str">
        <f t="shared" ref="A68:A131" si="5">LEFT(A67,FIND("-",A67)) &amp; TEXT(VALUE(MID(A67,FIND("-",A67)+1,99)) + 1,"000")</f>
        <v>SKILL-066</v>
      </c>
      <c r="B68" s="9" t="str">
        <f t="shared" si="0"/>
        <v>ARTILHARIA | LANÇA FOGUETES - F|M</v>
      </c>
      <c r="C68" s="9" t="s">
        <v>594</v>
      </c>
      <c r="D68" s="9" t="s">
        <v>127</v>
      </c>
      <c r="E68" s="9" t="s">
        <v>50</v>
      </c>
      <c r="F68" s="9" t="s">
        <v>38</v>
      </c>
      <c r="G68" s="9" t="str">
        <f t="shared" si="4"/>
        <v>DX</v>
      </c>
      <c r="H68" s="9" t="s">
        <v>168</v>
      </c>
      <c r="I68" s="12" t="s">
        <v>41</v>
      </c>
      <c r="J68" s="9">
        <v>50</v>
      </c>
      <c r="K68" s="9" t="s">
        <v>169</v>
      </c>
      <c r="L68" s="9"/>
      <c r="M68" s="5"/>
      <c r="N68" s="5"/>
      <c r="O68" s="5"/>
      <c r="P68" s="5"/>
      <c r="Q68" s="5"/>
      <c r="R68" s="5"/>
      <c r="S68" s="5"/>
      <c r="T68" s="5"/>
      <c r="U68" s="5"/>
      <c r="V68" s="5"/>
      <c r="W68" s="5"/>
      <c r="X68" s="5"/>
      <c r="Y68" s="5"/>
      <c r="Z68" s="5"/>
      <c r="AA68" s="5"/>
      <c r="AB68" s="5"/>
    </row>
    <row r="69" spans="1:28" ht="90" x14ac:dyDescent="0.2">
      <c r="A69" s="9" t="str">
        <f t="shared" si="5"/>
        <v>SKILL-067</v>
      </c>
      <c r="B69" s="9" t="str">
        <f t="shared" si="0"/>
        <v>ARMAS DE FOGO | PISTOLAS - F|F</v>
      </c>
      <c r="C69" s="9" t="s">
        <v>175</v>
      </c>
      <c r="D69" s="9" t="s">
        <v>127</v>
      </c>
      <c r="E69" s="9" t="s">
        <v>50</v>
      </c>
      <c r="F69" s="9" t="s">
        <v>50</v>
      </c>
      <c r="G69" s="9" t="str">
        <f t="shared" si="4"/>
        <v>DX</v>
      </c>
      <c r="H69" s="9" t="s">
        <v>176</v>
      </c>
      <c r="I69" s="12" t="s">
        <v>41</v>
      </c>
      <c r="J69" s="9">
        <v>51</v>
      </c>
      <c r="K69" s="9" t="s">
        <v>177</v>
      </c>
      <c r="L69" s="9"/>
      <c r="M69" s="5"/>
      <c r="N69" s="5"/>
      <c r="O69" s="5"/>
      <c r="P69" s="5"/>
      <c r="Q69" s="5"/>
      <c r="R69" s="5"/>
      <c r="S69" s="5"/>
      <c r="T69" s="5"/>
      <c r="U69" s="5"/>
      <c r="V69" s="5"/>
      <c r="W69" s="5"/>
      <c r="X69" s="5"/>
      <c r="Y69" s="5"/>
      <c r="Z69" s="5"/>
      <c r="AA69" s="5"/>
      <c r="AB69" s="5"/>
    </row>
    <row r="70" spans="1:28" ht="90" x14ac:dyDescent="0.2">
      <c r="A70" s="9" t="str">
        <f t="shared" si="5"/>
        <v>SKILL-068</v>
      </c>
      <c r="B70" s="9" t="str">
        <f t="shared" si="0"/>
        <v>ARMAS DE FOGO | REVÓLVERES - F|F</v>
      </c>
      <c r="C70" s="9" t="s">
        <v>178</v>
      </c>
      <c r="D70" s="9" t="s">
        <v>127</v>
      </c>
      <c r="E70" s="9" t="s">
        <v>50</v>
      </c>
      <c r="F70" s="9" t="s">
        <v>50</v>
      </c>
      <c r="G70" s="9" t="str">
        <f t="shared" si="4"/>
        <v>DX</v>
      </c>
      <c r="H70" s="9" t="s">
        <v>176</v>
      </c>
      <c r="I70" s="12" t="s">
        <v>41</v>
      </c>
      <c r="J70" s="9">
        <v>51</v>
      </c>
      <c r="K70" s="9" t="s">
        <v>177</v>
      </c>
      <c r="L70" s="9"/>
      <c r="M70" s="5"/>
      <c r="N70" s="5"/>
      <c r="O70" s="5"/>
      <c r="P70" s="5"/>
      <c r="Q70" s="5"/>
      <c r="R70" s="5"/>
      <c r="S70" s="5"/>
      <c r="T70" s="5"/>
      <c r="U70" s="5"/>
      <c r="V70" s="5"/>
      <c r="W70" s="5"/>
      <c r="X70" s="5"/>
      <c r="Y70" s="5"/>
      <c r="Z70" s="5"/>
      <c r="AA70" s="5"/>
      <c r="AB70" s="5"/>
    </row>
    <row r="71" spans="1:28" ht="90" x14ac:dyDescent="0.2">
      <c r="A71" s="9" t="str">
        <f t="shared" si="5"/>
        <v>SKILL-069</v>
      </c>
      <c r="B71" s="9" t="str">
        <f t="shared" si="0"/>
        <v>ARMAS DE FOGO | SUBMETRALHADORA - F|F</v>
      </c>
      <c r="C71" s="9" t="s">
        <v>179</v>
      </c>
      <c r="D71" s="9" t="s">
        <v>127</v>
      </c>
      <c r="E71" s="9" t="s">
        <v>50</v>
      </c>
      <c r="F71" s="9" t="s">
        <v>50</v>
      </c>
      <c r="G71" s="9" t="str">
        <f t="shared" si="4"/>
        <v>DX</v>
      </c>
      <c r="H71" s="9" t="s">
        <v>176</v>
      </c>
      <c r="I71" s="12" t="s">
        <v>41</v>
      </c>
      <c r="J71" s="9">
        <v>51</v>
      </c>
      <c r="K71" s="9" t="s">
        <v>177</v>
      </c>
      <c r="L71" s="9"/>
      <c r="M71" s="5"/>
      <c r="N71" s="5"/>
      <c r="O71" s="5"/>
      <c r="P71" s="5"/>
      <c r="Q71" s="5"/>
      <c r="R71" s="5"/>
      <c r="S71" s="5"/>
      <c r="T71" s="5"/>
      <c r="U71" s="5"/>
      <c r="V71" s="5"/>
      <c r="W71" s="5"/>
      <c r="X71" s="5"/>
      <c r="Y71" s="5"/>
      <c r="Z71" s="5"/>
      <c r="AA71" s="5"/>
      <c r="AB71" s="5"/>
    </row>
    <row r="72" spans="1:28" ht="90" x14ac:dyDescent="0.2">
      <c r="A72" s="9" t="str">
        <f t="shared" si="5"/>
        <v>SKILL-070</v>
      </c>
      <c r="B72" s="9" t="str">
        <f t="shared" si="0"/>
        <v>ARMAS DE FOGO |  METRALHADORAS - F|F</v>
      </c>
      <c r="C72" s="9" t="s">
        <v>180</v>
      </c>
      <c r="D72" s="9" t="s">
        <v>127</v>
      </c>
      <c r="E72" s="9" t="s">
        <v>50</v>
      </c>
      <c r="F72" s="9" t="s">
        <v>50</v>
      </c>
      <c r="G72" s="9" t="str">
        <f t="shared" si="4"/>
        <v>DX</v>
      </c>
      <c r="H72" s="9" t="s">
        <v>176</v>
      </c>
      <c r="I72" s="12" t="s">
        <v>41</v>
      </c>
      <c r="J72" s="9">
        <v>51</v>
      </c>
      <c r="K72" s="9" t="s">
        <v>177</v>
      </c>
      <c r="L72" s="9"/>
      <c r="M72" s="5"/>
      <c r="N72" s="5"/>
      <c r="O72" s="5"/>
      <c r="P72" s="5"/>
      <c r="Q72" s="5"/>
      <c r="R72" s="5"/>
      <c r="S72" s="5"/>
      <c r="T72" s="5"/>
      <c r="U72" s="5"/>
      <c r="V72" s="5"/>
      <c r="W72" s="5"/>
      <c r="X72" s="5"/>
      <c r="Y72" s="5"/>
      <c r="Z72" s="5"/>
      <c r="AA72" s="5"/>
      <c r="AB72" s="5"/>
    </row>
    <row r="73" spans="1:28" ht="90" x14ac:dyDescent="0.2">
      <c r="A73" s="9" t="str">
        <f t="shared" si="5"/>
        <v>SKILL-071</v>
      </c>
      <c r="B73" s="9" t="str">
        <f t="shared" si="0"/>
        <v>ARMAS DE FOGO | RIFLES - F|F</v>
      </c>
      <c r="C73" s="9" t="s">
        <v>181</v>
      </c>
      <c r="D73" s="9" t="s">
        <v>127</v>
      </c>
      <c r="E73" s="9" t="s">
        <v>50</v>
      </c>
      <c r="F73" s="9" t="s">
        <v>50</v>
      </c>
      <c r="G73" s="9" t="str">
        <f t="shared" si="4"/>
        <v>DX</v>
      </c>
      <c r="H73" s="9" t="s">
        <v>176</v>
      </c>
      <c r="I73" s="12" t="s">
        <v>41</v>
      </c>
      <c r="J73" s="9">
        <v>51</v>
      </c>
      <c r="K73" s="9" t="s">
        <v>177</v>
      </c>
      <c r="L73" s="9"/>
      <c r="M73" s="5"/>
      <c r="N73" s="5"/>
      <c r="O73" s="5"/>
      <c r="P73" s="5"/>
      <c r="Q73" s="5"/>
      <c r="R73" s="5"/>
      <c r="S73" s="5"/>
      <c r="T73" s="5"/>
      <c r="U73" s="5"/>
      <c r="V73" s="5"/>
      <c r="W73" s="5"/>
      <c r="X73" s="5"/>
      <c r="Y73" s="5"/>
      <c r="Z73" s="5"/>
      <c r="AA73" s="5"/>
      <c r="AB73" s="5"/>
    </row>
    <row r="74" spans="1:28" ht="90" x14ac:dyDescent="0.2">
      <c r="A74" s="9" t="str">
        <f t="shared" si="5"/>
        <v>SKILL-072</v>
      </c>
      <c r="B74" s="9" t="str">
        <f t="shared" si="0"/>
        <v>ARMAS DE FOGO | ESCOPETAS - F|F</v>
      </c>
      <c r="C74" s="9" t="s">
        <v>182</v>
      </c>
      <c r="D74" s="9" t="s">
        <v>127</v>
      </c>
      <c r="E74" s="9" t="s">
        <v>50</v>
      </c>
      <c r="F74" s="9" t="s">
        <v>50</v>
      </c>
      <c r="G74" s="9" t="str">
        <f t="shared" si="4"/>
        <v>DX</v>
      </c>
      <c r="H74" s="9" t="s">
        <v>176</v>
      </c>
      <c r="I74" s="12" t="s">
        <v>41</v>
      </c>
      <c r="J74" s="9">
        <v>51</v>
      </c>
      <c r="K74" s="9" t="s">
        <v>177</v>
      </c>
      <c r="L74" s="9"/>
      <c r="M74" s="5"/>
      <c r="N74" s="5"/>
      <c r="O74" s="5"/>
      <c r="P74" s="5"/>
      <c r="Q74" s="5"/>
      <c r="R74" s="5"/>
      <c r="S74" s="5"/>
      <c r="T74" s="5"/>
      <c r="U74" s="5"/>
      <c r="V74" s="5"/>
      <c r="W74" s="5"/>
      <c r="X74" s="5"/>
      <c r="Y74" s="5"/>
      <c r="Z74" s="5"/>
      <c r="AA74" s="5"/>
      <c r="AB74" s="5"/>
    </row>
    <row r="75" spans="1:28" ht="90" x14ac:dyDescent="0.2">
      <c r="A75" s="9" t="str">
        <f t="shared" si="5"/>
        <v>SKILL-073</v>
      </c>
      <c r="B75" s="9" t="str">
        <f t="shared" si="0"/>
        <v>ARMAS DE FOGO | LANÇA FOGUETES - F|F</v>
      </c>
      <c r="C75" s="9" t="s">
        <v>183</v>
      </c>
      <c r="D75" s="9" t="s">
        <v>127</v>
      </c>
      <c r="E75" s="9" t="s">
        <v>50</v>
      </c>
      <c r="F75" s="9" t="s">
        <v>50</v>
      </c>
      <c r="G75" s="9" t="str">
        <f t="shared" si="4"/>
        <v>DX</v>
      </c>
      <c r="H75" s="9" t="s">
        <v>176</v>
      </c>
      <c r="I75" s="12" t="s">
        <v>41</v>
      </c>
      <c r="J75" s="9">
        <v>51</v>
      </c>
      <c r="K75" s="9" t="s">
        <v>177</v>
      </c>
      <c r="L75" s="9"/>
      <c r="M75" s="5"/>
      <c r="N75" s="5"/>
      <c r="O75" s="5"/>
      <c r="P75" s="5"/>
      <c r="Q75" s="5"/>
      <c r="R75" s="5"/>
      <c r="S75" s="5"/>
      <c r="T75" s="5"/>
      <c r="U75" s="5"/>
      <c r="V75" s="5"/>
      <c r="W75" s="5"/>
      <c r="X75" s="5"/>
      <c r="Y75" s="5"/>
      <c r="Z75" s="5"/>
      <c r="AA75" s="5"/>
      <c r="AB75" s="5"/>
    </row>
    <row r="76" spans="1:28" ht="213.75" x14ac:dyDescent="0.2">
      <c r="A76" s="9" t="str">
        <f t="shared" si="5"/>
        <v>SKILL-074</v>
      </c>
      <c r="B76" s="9" t="str">
        <f t="shared" si="0"/>
        <v>ARTES MARCIAIS | JUDÔ - F|D</v>
      </c>
      <c r="C76" s="9" t="s">
        <v>184</v>
      </c>
      <c r="D76" s="9" t="s">
        <v>127</v>
      </c>
      <c r="E76" s="9" t="s">
        <v>50</v>
      </c>
      <c r="F76" s="9" t="s">
        <v>39</v>
      </c>
      <c r="G76" s="9" t="str">
        <f t="shared" si="4"/>
        <v>DX</v>
      </c>
      <c r="H76" s="9"/>
      <c r="I76" s="12" t="s">
        <v>41</v>
      </c>
      <c r="J76" s="9">
        <v>51</v>
      </c>
      <c r="K76" s="9" t="s">
        <v>185</v>
      </c>
      <c r="L76" s="9"/>
      <c r="M76" s="5"/>
      <c r="N76" s="5"/>
      <c r="O76" s="5"/>
      <c r="P76" s="5"/>
      <c r="Q76" s="5"/>
      <c r="R76" s="5"/>
      <c r="S76" s="5"/>
      <c r="T76" s="5"/>
      <c r="U76" s="5"/>
      <c r="V76" s="5"/>
      <c r="W76" s="5"/>
      <c r="X76" s="5"/>
      <c r="Y76" s="5"/>
      <c r="Z76" s="5"/>
      <c r="AA76" s="5"/>
      <c r="AB76" s="5"/>
    </row>
    <row r="77" spans="1:28" ht="180" x14ac:dyDescent="0.2">
      <c r="A77" s="9" t="str">
        <f t="shared" si="5"/>
        <v>SKILL-075</v>
      </c>
      <c r="B77" s="9" t="str">
        <f t="shared" si="0"/>
        <v>ARTES MARCIAIS | CARATÊ - F|D</v>
      </c>
      <c r="C77" s="9" t="s">
        <v>186</v>
      </c>
      <c r="D77" s="9" t="s">
        <v>127</v>
      </c>
      <c r="E77" s="9" t="s">
        <v>50</v>
      </c>
      <c r="F77" s="9" t="s">
        <v>39</v>
      </c>
      <c r="G77" s="9" t="str">
        <f t="shared" si="4"/>
        <v>DX</v>
      </c>
      <c r="H77" s="9"/>
      <c r="I77" s="12" t="s">
        <v>41</v>
      </c>
      <c r="J77" s="9">
        <v>51</v>
      </c>
      <c r="K77" s="9" t="s">
        <v>187</v>
      </c>
      <c r="L77" s="9"/>
      <c r="M77" s="5"/>
      <c r="N77" s="5"/>
      <c r="O77" s="5"/>
      <c r="P77" s="5"/>
      <c r="Q77" s="5"/>
      <c r="R77" s="5"/>
      <c r="S77" s="5"/>
      <c r="T77" s="5"/>
      <c r="U77" s="5"/>
      <c r="V77" s="5"/>
      <c r="W77" s="5"/>
      <c r="X77" s="5"/>
      <c r="Y77" s="5"/>
      <c r="Z77" s="5"/>
      <c r="AA77" s="5"/>
      <c r="AB77" s="5"/>
    </row>
    <row r="78" spans="1:28" ht="22.5" x14ac:dyDescent="0.2">
      <c r="A78" s="9" t="str">
        <f t="shared" si="5"/>
        <v>SKILL-076</v>
      </c>
      <c r="B78" s="9" t="str">
        <f t="shared" si="0"/>
        <v>FACA - F|F</v>
      </c>
      <c r="C78" s="9" t="s">
        <v>188</v>
      </c>
      <c r="D78" s="9" t="s">
        <v>127</v>
      </c>
      <c r="E78" s="9" t="s">
        <v>50</v>
      </c>
      <c r="F78" s="9" t="s">
        <v>50</v>
      </c>
      <c r="G78" s="9" t="str">
        <f t="shared" si="4"/>
        <v>DX</v>
      </c>
      <c r="H78" s="9" t="s">
        <v>130</v>
      </c>
      <c r="I78" s="12" t="s">
        <v>41</v>
      </c>
      <c r="J78" s="9">
        <v>51</v>
      </c>
      <c r="K78" s="9" t="s">
        <v>189</v>
      </c>
      <c r="L78" s="9"/>
      <c r="M78" s="5"/>
      <c r="N78" s="5"/>
      <c r="O78" s="5"/>
      <c r="P78" s="5"/>
      <c r="Q78" s="5"/>
      <c r="R78" s="5"/>
      <c r="S78" s="5"/>
      <c r="T78" s="5"/>
      <c r="U78" s="5"/>
      <c r="V78" s="5"/>
      <c r="W78" s="5"/>
      <c r="X78" s="5"/>
      <c r="Y78" s="5"/>
      <c r="Z78" s="5"/>
      <c r="AA78" s="5"/>
      <c r="AB78" s="5"/>
    </row>
    <row r="79" spans="1:28" ht="22.5" x14ac:dyDescent="0.2">
      <c r="A79" s="9" t="str">
        <f t="shared" si="5"/>
        <v>SKILL-077</v>
      </c>
      <c r="B79" s="9" t="str">
        <f t="shared" si="0"/>
        <v>ARREMESSO DE FACA - F|F</v>
      </c>
      <c r="C79" s="9" t="s">
        <v>190</v>
      </c>
      <c r="D79" s="9" t="s">
        <v>127</v>
      </c>
      <c r="E79" s="9" t="s">
        <v>50</v>
      </c>
      <c r="F79" s="9" t="s">
        <v>50</v>
      </c>
      <c r="G79" s="9" t="str">
        <f t="shared" si="4"/>
        <v>DX</v>
      </c>
      <c r="H79" s="9" t="s">
        <v>130</v>
      </c>
      <c r="I79" s="12" t="s">
        <v>41</v>
      </c>
      <c r="J79" s="9">
        <v>51</v>
      </c>
      <c r="K79" s="9" t="s">
        <v>191</v>
      </c>
      <c r="L79" s="9"/>
      <c r="M79" s="5"/>
      <c r="N79" s="5"/>
      <c r="O79" s="5"/>
      <c r="P79" s="5"/>
      <c r="Q79" s="5"/>
      <c r="R79" s="5"/>
      <c r="S79" s="5"/>
      <c r="T79" s="5"/>
      <c r="U79" s="5"/>
      <c r="V79" s="5"/>
      <c r="W79" s="5"/>
      <c r="X79" s="5"/>
      <c r="Y79" s="5"/>
      <c r="Z79" s="5"/>
      <c r="AA79" s="5"/>
      <c r="AB79" s="5"/>
    </row>
    <row r="80" spans="1:28" ht="56.25" x14ac:dyDescent="0.2">
      <c r="A80" s="9" t="str">
        <f t="shared" si="5"/>
        <v>SKILL-078</v>
      </c>
      <c r="B80" s="9" t="str">
        <f t="shared" si="0"/>
        <v>LANÇA DE JUSTA - F|M</v>
      </c>
      <c r="C80" s="9" t="s">
        <v>192</v>
      </c>
      <c r="D80" s="9" t="s">
        <v>127</v>
      </c>
      <c r="E80" s="9" t="s">
        <v>50</v>
      </c>
      <c r="F80" s="9" t="s">
        <v>38</v>
      </c>
      <c r="G80" s="9" t="str">
        <f t="shared" si="4"/>
        <v>DX</v>
      </c>
      <c r="H80" s="9" t="s">
        <v>193</v>
      </c>
      <c r="I80" s="12" t="s">
        <v>41</v>
      </c>
      <c r="J80" s="9">
        <v>51</v>
      </c>
      <c r="K80" s="9" t="s">
        <v>194</v>
      </c>
      <c r="L80" s="9" t="s">
        <v>49</v>
      </c>
      <c r="M80" s="5"/>
      <c r="N80" s="5"/>
      <c r="O80" s="5"/>
      <c r="P80" s="5"/>
      <c r="Q80" s="5"/>
      <c r="R80" s="5"/>
      <c r="S80" s="5"/>
      <c r="T80" s="5"/>
      <c r="U80" s="5"/>
      <c r="V80" s="5"/>
      <c r="W80" s="5"/>
      <c r="X80" s="5"/>
      <c r="Y80" s="5"/>
      <c r="Z80" s="5"/>
      <c r="AA80" s="5"/>
      <c r="AB80" s="5"/>
    </row>
    <row r="81" spans="1:28" ht="191.25" x14ac:dyDescent="0.2">
      <c r="A81" s="9" t="str">
        <f t="shared" si="5"/>
        <v>SKILL-079</v>
      </c>
      <c r="B81" s="9" t="str">
        <f t="shared" si="0"/>
        <v>LAÇO - F|M</v>
      </c>
      <c r="C81" s="9" t="s">
        <v>195</v>
      </c>
      <c r="D81" s="9" t="s">
        <v>127</v>
      </c>
      <c r="E81" s="9" t="s">
        <v>50</v>
      </c>
      <c r="F81" s="9" t="s">
        <v>38</v>
      </c>
      <c r="G81" s="9" t="str">
        <f t="shared" si="4"/>
        <v>DX</v>
      </c>
      <c r="H81" s="9"/>
      <c r="I81" s="12" t="s">
        <v>41</v>
      </c>
      <c r="J81" s="9">
        <v>51</v>
      </c>
      <c r="K81" s="9" t="s">
        <v>196</v>
      </c>
      <c r="L81" s="9"/>
      <c r="M81" s="5"/>
      <c r="N81" s="5"/>
      <c r="O81" s="5"/>
      <c r="P81" s="5"/>
      <c r="Q81" s="5"/>
      <c r="R81" s="5"/>
      <c r="S81" s="5"/>
      <c r="T81" s="5"/>
      <c r="U81" s="5"/>
      <c r="V81" s="5"/>
      <c r="W81" s="5"/>
      <c r="X81" s="5"/>
      <c r="Y81" s="5"/>
      <c r="Z81" s="5"/>
      <c r="AA81" s="5"/>
      <c r="AB81" s="5"/>
    </row>
    <row r="82" spans="1:28" ht="180" x14ac:dyDescent="0.2">
      <c r="A82" s="9" t="str">
        <f t="shared" si="5"/>
        <v>SKILL-080</v>
      </c>
      <c r="B82" s="9" t="str">
        <f t="shared" si="0"/>
        <v>REDE - F|D</v>
      </c>
      <c r="C82" s="9" t="s">
        <v>197</v>
      </c>
      <c r="D82" s="9" t="s">
        <v>127</v>
      </c>
      <c r="E82" s="9" t="s">
        <v>50</v>
      </c>
      <c r="F82" s="9" t="s">
        <v>39</v>
      </c>
      <c r="G82" s="9" t="str">
        <f t="shared" si="4"/>
        <v>DX</v>
      </c>
      <c r="H82" s="9"/>
      <c r="I82" s="12" t="s">
        <v>41</v>
      </c>
      <c r="J82" s="9">
        <v>51</v>
      </c>
      <c r="K82" s="9" t="s">
        <v>198</v>
      </c>
      <c r="L82" s="9"/>
      <c r="M82" s="5"/>
      <c r="N82" s="5"/>
      <c r="O82" s="5"/>
      <c r="P82" s="5"/>
      <c r="Q82" s="5"/>
      <c r="R82" s="5"/>
      <c r="S82" s="5"/>
      <c r="T82" s="5"/>
      <c r="U82" s="5"/>
      <c r="V82" s="5"/>
      <c r="W82" s="5"/>
      <c r="X82" s="5"/>
      <c r="Y82" s="5"/>
      <c r="Z82" s="5"/>
      <c r="AA82" s="5"/>
      <c r="AB82" s="5"/>
    </row>
    <row r="83" spans="1:28" ht="33.75" x14ac:dyDescent="0.2">
      <c r="A83" s="9" t="str">
        <f t="shared" si="5"/>
        <v>SKILL-081</v>
      </c>
      <c r="B83" s="9" t="str">
        <f t="shared" si="0"/>
        <v>ARMAS DE HASTE - F|M</v>
      </c>
      <c r="C83" s="9" t="s">
        <v>199</v>
      </c>
      <c r="D83" s="9" t="s">
        <v>127</v>
      </c>
      <c r="E83" s="9" t="s">
        <v>50</v>
      </c>
      <c r="F83" s="9" t="s">
        <v>38</v>
      </c>
      <c r="G83" s="9" t="str">
        <f t="shared" si="4"/>
        <v>DX</v>
      </c>
      <c r="H83" s="9" t="s">
        <v>83</v>
      </c>
      <c r="I83" s="12" t="s">
        <v>41</v>
      </c>
      <c r="J83" s="9">
        <v>51</v>
      </c>
      <c r="K83" s="9" t="s">
        <v>200</v>
      </c>
      <c r="L83" s="9"/>
      <c r="M83" s="5"/>
      <c r="N83" s="5"/>
      <c r="O83" s="5"/>
      <c r="P83" s="5"/>
      <c r="Q83" s="5"/>
      <c r="R83" s="5"/>
      <c r="S83" s="5"/>
      <c r="T83" s="5"/>
      <c r="U83" s="5"/>
      <c r="V83" s="5"/>
      <c r="W83" s="5"/>
      <c r="X83" s="5"/>
      <c r="Y83" s="5"/>
      <c r="Z83" s="5"/>
      <c r="AA83" s="5"/>
      <c r="AB83" s="5"/>
    </row>
    <row r="84" spans="1:28" ht="101.25" x14ac:dyDescent="0.2">
      <c r="A84" s="9" t="str">
        <f t="shared" si="5"/>
        <v>SKILL-082</v>
      </c>
      <c r="B84" s="9" t="str">
        <f t="shared" si="0"/>
        <v>ESCUDO - F|F</v>
      </c>
      <c r="C84" s="9" t="s">
        <v>201</v>
      </c>
      <c r="D84" s="9" t="s">
        <v>127</v>
      </c>
      <c r="E84" s="9" t="s">
        <v>50</v>
      </c>
      <c r="F84" s="9" t="s">
        <v>50</v>
      </c>
      <c r="G84" s="9" t="str">
        <f t="shared" si="4"/>
        <v>DX</v>
      </c>
      <c r="H84" s="9" t="s">
        <v>202</v>
      </c>
      <c r="I84" s="12" t="s">
        <v>41</v>
      </c>
      <c r="J84" s="9">
        <v>52</v>
      </c>
      <c r="K84" s="9" t="s">
        <v>203</v>
      </c>
      <c r="L84" s="9"/>
      <c r="M84" s="5"/>
      <c r="N84" s="5"/>
      <c r="O84" s="5"/>
      <c r="P84" s="5"/>
      <c r="Q84" s="5"/>
      <c r="R84" s="5"/>
      <c r="S84" s="5"/>
      <c r="T84" s="5"/>
      <c r="U84" s="5"/>
      <c r="V84" s="5"/>
      <c r="W84" s="5"/>
      <c r="X84" s="5"/>
      <c r="Y84" s="5"/>
      <c r="Z84" s="5"/>
      <c r="AA84" s="5"/>
      <c r="AB84" s="5"/>
    </row>
    <row r="85" spans="1:28" ht="33.75" x14ac:dyDescent="0.2">
      <c r="A85" s="9" t="str">
        <f t="shared" si="5"/>
        <v>SKILL-083</v>
      </c>
      <c r="B85" s="9" t="str">
        <f t="shared" si="0"/>
        <v>ESPADAS CURTAS - F|M</v>
      </c>
      <c r="C85" s="9" t="s">
        <v>204</v>
      </c>
      <c r="D85" s="9" t="s">
        <v>127</v>
      </c>
      <c r="E85" s="9" t="s">
        <v>50</v>
      </c>
      <c r="F85" s="9" t="s">
        <v>38</v>
      </c>
      <c r="G85" s="9" t="str">
        <f t="shared" si="4"/>
        <v>DX</v>
      </c>
      <c r="H85" s="9" t="s">
        <v>205</v>
      </c>
      <c r="I85" s="12" t="s">
        <v>41</v>
      </c>
      <c r="J85" s="9">
        <v>52</v>
      </c>
      <c r="K85" s="9" t="s">
        <v>206</v>
      </c>
      <c r="L85" s="9"/>
      <c r="M85" s="5"/>
      <c r="N85" s="5"/>
      <c r="O85" s="5"/>
      <c r="P85" s="5"/>
      <c r="Q85" s="5"/>
      <c r="R85" s="5"/>
      <c r="S85" s="5"/>
      <c r="T85" s="5"/>
      <c r="U85" s="5"/>
      <c r="V85" s="5"/>
      <c r="W85" s="5"/>
      <c r="X85" s="5"/>
      <c r="Y85" s="5"/>
      <c r="Z85" s="5"/>
      <c r="AA85" s="5"/>
      <c r="AB85" s="5"/>
    </row>
    <row r="86" spans="1:28" ht="22.5" x14ac:dyDescent="0.2">
      <c r="A86" s="9" t="str">
        <f t="shared" si="5"/>
        <v>SKILL-084</v>
      </c>
      <c r="B86" s="9" t="str">
        <f t="shared" si="0"/>
        <v>FUNDA - F|D</v>
      </c>
      <c r="C86" s="9" t="s">
        <v>207</v>
      </c>
      <c r="D86" s="9" t="s">
        <v>127</v>
      </c>
      <c r="E86" s="9" t="s">
        <v>50</v>
      </c>
      <c r="F86" s="9" t="s">
        <v>39</v>
      </c>
      <c r="G86" s="9" t="str">
        <f t="shared" si="4"/>
        <v>DX</v>
      </c>
      <c r="H86" s="9" t="s">
        <v>105</v>
      </c>
      <c r="I86" s="12" t="s">
        <v>41</v>
      </c>
      <c r="J86" s="9">
        <v>52</v>
      </c>
      <c r="K86" s="9" t="s">
        <v>208</v>
      </c>
      <c r="L86" s="9"/>
      <c r="M86" s="5"/>
      <c r="N86" s="5"/>
      <c r="O86" s="5"/>
      <c r="P86" s="5"/>
      <c r="Q86" s="5"/>
      <c r="R86" s="5"/>
      <c r="S86" s="5"/>
      <c r="T86" s="5"/>
      <c r="U86" s="5"/>
      <c r="V86" s="5"/>
      <c r="W86" s="5"/>
      <c r="X86" s="5"/>
      <c r="Y86" s="5"/>
      <c r="Z86" s="5"/>
      <c r="AA86" s="5"/>
      <c r="AB86" s="5"/>
    </row>
    <row r="87" spans="1:28" ht="33.75" x14ac:dyDescent="0.2">
      <c r="A87" s="9" t="str">
        <f t="shared" si="5"/>
        <v>SKILL-085</v>
      </c>
      <c r="B87" s="9" t="str">
        <f t="shared" si="0"/>
        <v>LANÇA - F|M</v>
      </c>
      <c r="C87" s="9" t="s">
        <v>209</v>
      </c>
      <c r="D87" s="9" t="s">
        <v>127</v>
      </c>
      <c r="E87" s="9" t="s">
        <v>50</v>
      </c>
      <c r="F87" s="9" t="s">
        <v>38</v>
      </c>
      <c r="G87" s="9" t="str">
        <f t="shared" si="4"/>
        <v>DX</v>
      </c>
      <c r="H87" s="9" t="s">
        <v>210</v>
      </c>
      <c r="I87" s="12" t="s">
        <v>41</v>
      </c>
      <c r="J87" s="9">
        <v>52</v>
      </c>
      <c r="K87" s="9" t="s">
        <v>211</v>
      </c>
      <c r="L87" s="9"/>
      <c r="M87" s="5"/>
      <c r="N87" s="5"/>
      <c r="O87" s="5"/>
      <c r="P87" s="5"/>
      <c r="Q87" s="5"/>
      <c r="R87" s="5"/>
      <c r="S87" s="5"/>
      <c r="T87" s="5"/>
      <c r="U87" s="5"/>
      <c r="V87" s="5"/>
      <c r="W87" s="5"/>
      <c r="X87" s="5"/>
      <c r="Y87" s="5"/>
      <c r="Z87" s="5"/>
      <c r="AA87" s="5"/>
      <c r="AB87" s="5"/>
    </row>
    <row r="88" spans="1:28" ht="33.75" x14ac:dyDescent="0.2">
      <c r="A88" s="9" t="str">
        <f t="shared" si="5"/>
        <v>SKILL-086</v>
      </c>
      <c r="B88" s="9" t="str">
        <f t="shared" si="0"/>
        <v>ARREMESSO DE LANÇA - F|F</v>
      </c>
      <c r="C88" s="9" t="s">
        <v>212</v>
      </c>
      <c r="D88" s="9" t="s">
        <v>127</v>
      </c>
      <c r="E88" s="9" t="s">
        <v>50</v>
      </c>
      <c r="F88" s="9" t="s">
        <v>50</v>
      </c>
      <c r="G88" s="9" t="str">
        <f t="shared" si="4"/>
        <v>DX</v>
      </c>
      <c r="H88" s="9" t="s">
        <v>202</v>
      </c>
      <c r="I88" s="12" t="s">
        <v>41</v>
      </c>
      <c r="J88" s="9">
        <v>52</v>
      </c>
      <c r="K88" s="9" t="s">
        <v>213</v>
      </c>
      <c r="L88" s="9"/>
      <c r="M88" s="5"/>
      <c r="N88" s="5"/>
      <c r="O88" s="5"/>
      <c r="P88" s="5"/>
      <c r="Q88" s="5"/>
      <c r="R88" s="5"/>
      <c r="S88" s="5"/>
      <c r="T88" s="5"/>
      <c r="U88" s="5"/>
      <c r="V88" s="5"/>
      <c r="W88" s="5"/>
      <c r="X88" s="5"/>
      <c r="Y88" s="5"/>
      <c r="Z88" s="5"/>
      <c r="AA88" s="5"/>
      <c r="AB88" s="5"/>
    </row>
    <row r="89" spans="1:28" ht="78.75" x14ac:dyDescent="0.2">
      <c r="A89" s="9" t="str">
        <f t="shared" si="5"/>
        <v>SKILL-087</v>
      </c>
      <c r="B89" s="9" t="str">
        <f t="shared" si="0"/>
        <v>RAPIDEZ DE RECARGA | ARMAS DE PÓLVORA - F|F</v>
      </c>
      <c r="C89" s="9" t="s">
        <v>214</v>
      </c>
      <c r="D89" s="9" t="s">
        <v>127</v>
      </c>
      <c r="E89" s="9" t="s">
        <v>50</v>
      </c>
      <c r="F89" s="9" t="s">
        <v>50</v>
      </c>
      <c r="G89" s="9" t="str">
        <f t="shared" si="4"/>
        <v>DX</v>
      </c>
      <c r="H89" s="9"/>
      <c r="I89" s="12" t="s">
        <v>41</v>
      </c>
      <c r="J89" s="9">
        <v>52</v>
      </c>
      <c r="K89" s="9" t="s">
        <v>215</v>
      </c>
      <c r="L89" s="9"/>
      <c r="M89" s="5"/>
      <c r="N89" s="5"/>
      <c r="O89" s="5"/>
      <c r="P89" s="5"/>
      <c r="Q89" s="5"/>
      <c r="R89" s="5"/>
      <c r="S89" s="5"/>
      <c r="T89" s="5"/>
      <c r="U89" s="5"/>
      <c r="V89" s="5"/>
      <c r="W89" s="5"/>
      <c r="X89" s="5"/>
      <c r="Y89" s="5"/>
      <c r="Z89" s="5"/>
      <c r="AA89" s="5"/>
      <c r="AB89" s="5"/>
    </row>
    <row r="90" spans="1:28" ht="78.75" x14ac:dyDescent="0.2">
      <c r="A90" s="9" t="str">
        <f t="shared" si="5"/>
        <v>SKILL-088</v>
      </c>
      <c r="B90" s="9" t="str">
        <f t="shared" si="0"/>
        <v>RAPIDEZ DE RECARGA | PISTOLAS - F|F</v>
      </c>
      <c r="C90" s="9" t="s">
        <v>216</v>
      </c>
      <c r="D90" s="9" t="s">
        <v>127</v>
      </c>
      <c r="E90" s="9" t="s">
        <v>50</v>
      </c>
      <c r="F90" s="9" t="s">
        <v>50</v>
      </c>
      <c r="G90" s="9" t="str">
        <f t="shared" si="4"/>
        <v>DX</v>
      </c>
      <c r="H90" s="9"/>
      <c r="I90" s="12" t="s">
        <v>41</v>
      </c>
      <c r="J90" s="9">
        <v>52</v>
      </c>
      <c r="K90" s="9" t="s">
        <v>215</v>
      </c>
      <c r="L90" s="9"/>
      <c r="M90" s="5"/>
      <c r="N90" s="5"/>
      <c r="O90" s="5"/>
      <c r="P90" s="5"/>
      <c r="Q90" s="5"/>
      <c r="R90" s="5"/>
      <c r="S90" s="5"/>
      <c r="T90" s="5"/>
      <c r="U90" s="5"/>
      <c r="V90" s="5"/>
      <c r="W90" s="5"/>
      <c r="X90" s="5"/>
      <c r="Y90" s="5"/>
      <c r="Z90" s="5"/>
      <c r="AA90" s="5"/>
      <c r="AB90" s="5"/>
    </row>
    <row r="91" spans="1:28" ht="78.75" x14ac:dyDescent="0.2">
      <c r="A91" s="9" t="str">
        <f t="shared" si="5"/>
        <v>SKILL-089</v>
      </c>
      <c r="B91" s="9" t="str">
        <f t="shared" si="0"/>
        <v>RAPIDEZ DE RECARGA | REVÓLVERES - F|F</v>
      </c>
      <c r="C91" s="9" t="s">
        <v>217</v>
      </c>
      <c r="D91" s="9" t="s">
        <v>127</v>
      </c>
      <c r="E91" s="9" t="s">
        <v>50</v>
      </c>
      <c r="F91" s="9" t="s">
        <v>50</v>
      </c>
      <c r="G91" s="9" t="str">
        <f t="shared" si="4"/>
        <v>DX</v>
      </c>
      <c r="H91" s="9"/>
      <c r="I91" s="12" t="s">
        <v>41</v>
      </c>
      <c r="J91" s="9">
        <v>52</v>
      </c>
      <c r="K91" s="9" t="s">
        <v>215</v>
      </c>
      <c r="L91" s="9"/>
      <c r="M91" s="5"/>
      <c r="N91" s="5"/>
      <c r="O91" s="5"/>
      <c r="P91" s="5"/>
      <c r="Q91" s="5"/>
      <c r="R91" s="5"/>
      <c r="S91" s="5"/>
      <c r="T91" s="5"/>
      <c r="U91" s="5"/>
      <c r="V91" s="5"/>
      <c r="W91" s="5"/>
      <c r="X91" s="5"/>
      <c r="Y91" s="5"/>
      <c r="Z91" s="5"/>
      <c r="AA91" s="5"/>
      <c r="AB91" s="5"/>
    </row>
    <row r="92" spans="1:28" ht="78.75" x14ac:dyDescent="0.2">
      <c r="A92" s="9" t="str">
        <f t="shared" si="5"/>
        <v>SKILL-090</v>
      </c>
      <c r="B92" s="9" t="str">
        <f t="shared" si="0"/>
        <v>RAPIDEZ DE RECARGA | SUBMETRALHADORAS - F|F</v>
      </c>
      <c r="C92" s="9" t="s">
        <v>218</v>
      </c>
      <c r="D92" s="9" t="s">
        <v>127</v>
      </c>
      <c r="E92" s="9" t="s">
        <v>50</v>
      </c>
      <c r="F92" s="9" t="s">
        <v>50</v>
      </c>
      <c r="G92" s="9" t="str">
        <f t="shared" si="4"/>
        <v>DX</v>
      </c>
      <c r="H92" s="9"/>
      <c r="I92" s="12" t="s">
        <v>41</v>
      </c>
      <c r="J92" s="9">
        <v>52</v>
      </c>
      <c r="K92" s="9" t="s">
        <v>215</v>
      </c>
      <c r="L92" s="9"/>
      <c r="M92" s="5"/>
      <c r="N92" s="5"/>
      <c r="O92" s="5"/>
      <c r="P92" s="5"/>
      <c r="Q92" s="5"/>
      <c r="R92" s="5"/>
      <c r="S92" s="5"/>
      <c r="T92" s="5"/>
      <c r="U92" s="5"/>
      <c r="V92" s="5"/>
      <c r="W92" s="5"/>
      <c r="X92" s="5"/>
      <c r="Y92" s="5"/>
      <c r="Z92" s="5"/>
      <c r="AA92" s="5"/>
      <c r="AB92" s="5"/>
    </row>
    <row r="93" spans="1:28" ht="78.75" x14ac:dyDescent="0.2">
      <c r="A93" s="9" t="str">
        <f t="shared" si="5"/>
        <v>SKILL-091</v>
      </c>
      <c r="B93" s="9" t="str">
        <f t="shared" si="0"/>
        <v>RAPIDEZ DE RECARGA | METRALHADORAS - F|F</v>
      </c>
      <c r="C93" s="9" t="s">
        <v>219</v>
      </c>
      <c r="D93" s="9" t="s">
        <v>127</v>
      </c>
      <c r="E93" s="9" t="s">
        <v>50</v>
      </c>
      <c r="F93" s="9" t="s">
        <v>50</v>
      </c>
      <c r="G93" s="9" t="str">
        <f t="shared" si="4"/>
        <v>DX</v>
      </c>
      <c r="H93" s="9"/>
      <c r="I93" s="12" t="s">
        <v>41</v>
      </c>
      <c r="J93" s="9">
        <v>52</v>
      </c>
      <c r="K93" s="9" t="s">
        <v>215</v>
      </c>
      <c r="L93" s="9"/>
      <c r="M93" s="5"/>
      <c r="N93" s="5"/>
      <c r="O93" s="5"/>
      <c r="P93" s="5"/>
      <c r="Q93" s="5"/>
      <c r="R93" s="5"/>
      <c r="S93" s="5"/>
      <c r="T93" s="5"/>
      <c r="U93" s="5"/>
      <c r="V93" s="5"/>
      <c r="W93" s="5"/>
      <c r="X93" s="5"/>
      <c r="Y93" s="5"/>
      <c r="Z93" s="5"/>
      <c r="AA93" s="5"/>
      <c r="AB93" s="5"/>
    </row>
    <row r="94" spans="1:28" ht="78.75" x14ac:dyDescent="0.2">
      <c r="A94" s="9" t="str">
        <f t="shared" si="5"/>
        <v>SKILL-092</v>
      </c>
      <c r="B94" s="9" t="str">
        <f t="shared" si="0"/>
        <v>RAPIDEZ DE RECARGA | RIFLES - F|F</v>
      </c>
      <c r="C94" s="9" t="s">
        <v>220</v>
      </c>
      <c r="D94" s="9" t="s">
        <v>127</v>
      </c>
      <c r="E94" s="9" t="s">
        <v>50</v>
      </c>
      <c r="F94" s="9" t="s">
        <v>50</v>
      </c>
      <c r="G94" s="9" t="str">
        <f t="shared" si="4"/>
        <v>DX</v>
      </c>
      <c r="H94" s="9"/>
      <c r="I94" s="12" t="s">
        <v>41</v>
      </c>
      <c r="J94" s="9">
        <v>52</v>
      </c>
      <c r="K94" s="9" t="s">
        <v>215</v>
      </c>
      <c r="L94" s="9"/>
      <c r="M94" s="5"/>
      <c r="N94" s="5"/>
      <c r="O94" s="5"/>
      <c r="P94" s="5"/>
      <c r="Q94" s="5"/>
      <c r="R94" s="5"/>
      <c r="S94" s="5"/>
      <c r="T94" s="5"/>
      <c r="U94" s="5"/>
      <c r="V94" s="5"/>
      <c r="W94" s="5"/>
      <c r="X94" s="5"/>
      <c r="Y94" s="5"/>
      <c r="Z94" s="5"/>
      <c r="AA94" s="5"/>
      <c r="AB94" s="5"/>
    </row>
    <row r="95" spans="1:28" ht="78.75" x14ac:dyDescent="0.2">
      <c r="A95" s="9" t="str">
        <f t="shared" si="5"/>
        <v>SKILL-093</v>
      </c>
      <c r="B95" s="9" t="str">
        <f t="shared" si="0"/>
        <v>RAPIDEZ DE RECARGA | ESCOPETAS - F|F</v>
      </c>
      <c r="C95" s="9" t="s">
        <v>221</v>
      </c>
      <c r="D95" s="9" t="s">
        <v>127</v>
      </c>
      <c r="E95" s="9" t="s">
        <v>50</v>
      </c>
      <c r="F95" s="9" t="s">
        <v>50</v>
      </c>
      <c r="G95" s="9" t="str">
        <f t="shared" si="4"/>
        <v>DX</v>
      </c>
      <c r="H95" s="9"/>
      <c r="I95" s="12" t="s">
        <v>41</v>
      </c>
      <c r="J95" s="9">
        <v>52</v>
      </c>
      <c r="K95" s="9" t="s">
        <v>215</v>
      </c>
      <c r="L95" s="9"/>
      <c r="M95" s="5"/>
      <c r="N95" s="5"/>
      <c r="O95" s="5"/>
      <c r="P95" s="5"/>
      <c r="Q95" s="5"/>
      <c r="R95" s="5"/>
      <c r="S95" s="5"/>
      <c r="T95" s="5"/>
      <c r="U95" s="5"/>
      <c r="V95" s="5"/>
      <c r="W95" s="5"/>
      <c r="X95" s="5"/>
      <c r="Y95" s="5"/>
      <c r="Z95" s="5"/>
      <c r="AA95" s="5"/>
      <c r="AB95" s="5"/>
    </row>
    <row r="96" spans="1:28" ht="78.75" x14ac:dyDescent="0.2">
      <c r="A96" s="9" t="str">
        <f t="shared" si="5"/>
        <v>SKILL-094</v>
      </c>
      <c r="B96" s="9" t="str">
        <f t="shared" si="0"/>
        <v>RAPIDEZ DE RECARGA | LANÇA FOGUETES - F|F</v>
      </c>
      <c r="C96" s="9" t="s">
        <v>222</v>
      </c>
      <c r="D96" s="9" t="s">
        <v>127</v>
      </c>
      <c r="E96" s="9" t="s">
        <v>50</v>
      </c>
      <c r="F96" s="9" t="s">
        <v>50</v>
      </c>
      <c r="G96" s="9" t="str">
        <f t="shared" si="4"/>
        <v>DX</v>
      </c>
      <c r="H96" s="9"/>
      <c r="I96" s="12" t="s">
        <v>41</v>
      </c>
      <c r="J96" s="9">
        <v>52</v>
      </c>
      <c r="K96" s="9" t="s">
        <v>215</v>
      </c>
      <c r="L96" s="9"/>
      <c r="M96" s="5"/>
      <c r="N96" s="5"/>
      <c r="O96" s="5"/>
      <c r="P96" s="5"/>
      <c r="Q96" s="5"/>
      <c r="R96" s="5"/>
      <c r="S96" s="5"/>
      <c r="T96" s="5"/>
      <c r="U96" s="5"/>
      <c r="V96" s="5"/>
      <c r="W96" s="5"/>
      <c r="X96" s="5"/>
      <c r="Y96" s="5"/>
      <c r="Z96" s="5"/>
      <c r="AA96" s="5"/>
      <c r="AB96" s="5"/>
    </row>
    <row r="97" spans="1:28" ht="33.75" x14ac:dyDescent="0.2">
      <c r="A97" s="9" t="str">
        <f t="shared" si="5"/>
        <v>SKILL-095</v>
      </c>
      <c r="B97" s="9" t="str">
        <f t="shared" si="0"/>
        <v>BASTÃO - F|D</v>
      </c>
      <c r="C97" s="9" t="s">
        <v>223</v>
      </c>
      <c r="D97" s="9" t="s">
        <v>127</v>
      </c>
      <c r="E97" s="9" t="s">
        <v>50</v>
      </c>
      <c r="F97" s="9" t="s">
        <v>39</v>
      </c>
      <c r="G97" s="9" t="str">
        <f t="shared" si="4"/>
        <v>DX</v>
      </c>
      <c r="H97" s="9" t="s">
        <v>224</v>
      </c>
      <c r="I97" s="12" t="s">
        <v>41</v>
      </c>
      <c r="J97" s="9">
        <v>52</v>
      </c>
      <c r="K97" s="9" t="s">
        <v>225</v>
      </c>
      <c r="L97" s="9"/>
      <c r="M97" s="5"/>
      <c r="N97" s="5"/>
      <c r="O97" s="5"/>
      <c r="P97" s="5"/>
      <c r="Q97" s="5"/>
      <c r="R97" s="5"/>
      <c r="S97" s="5"/>
      <c r="T97" s="5"/>
      <c r="U97" s="5"/>
      <c r="V97" s="5"/>
      <c r="W97" s="5"/>
      <c r="X97" s="5"/>
      <c r="Y97" s="5"/>
      <c r="Z97" s="5"/>
      <c r="AA97" s="5"/>
      <c r="AB97" s="5"/>
    </row>
    <row r="98" spans="1:28" ht="33.75" x14ac:dyDescent="0.2">
      <c r="A98" s="9" t="str">
        <f t="shared" si="5"/>
        <v>SKILL-096</v>
      </c>
      <c r="B98" s="9" t="str">
        <f t="shared" si="0"/>
        <v>MACHADO/MAÇA DE DUAS MÃOS - F|M</v>
      </c>
      <c r="C98" s="9" t="s">
        <v>226</v>
      </c>
      <c r="D98" s="9" t="s">
        <v>127</v>
      </c>
      <c r="E98" s="9" t="s">
        <v>50</v>
      </c>
      <c r="F98" s="9" t="s">
        <v>38</v>
      </c>
      <c r="G98" s="9" t="str">
        <f t="shared" si="4"/>
        <v>DX</v>
      </c>
      <c r="H98" s="9" t="s">
        <v>83</v>
      </c>
      <c r="I98" s="12" t="s">
        <v>41</v>
      </c>
      <c r="J98" s="9">
        <v>52</v>
      </c>
      <c r="K98" s="9" t="s">
        <v>227</v>
      </c>
      <c r="L98" s="9"/>
      <c r="M98" s="5"/>
      <c r="N98" s="5"/>
      <c r="O98" s="5"/>
      <c r="P98" s="5"/>
      <c r="Q98" s="5"/>
      <c r="R98" s="5"/>
      <c r="S98" s="5"/>
      <c r="T98" s="5"/>
      <c r="U98" s="5"/>
      <c r="V98" s="5"/>
      <c r="W98" s="5"/>
      <c r="X98" s="5"/>
      <c r="Y98" s="5"/>
      <c r="Z98" s="5"/>
      <c r="AA98" s="5"/>
      <c r="AB98" s="5"/>
    </row>
    <row r="99" spans="1:28" ht="22.5" x14ac:dyDescent="0.2">
      <c r="A99" s="9" t="str">
        <f t="shared" si="5"/>
        <v>SKILL-097</v>
      </c>
      <c r="B99" s="9" t="str">
        <f t="shared" si="0"/>
        <v>ESPADAS DE DUAS MÃOS - F|M</v>
      </c>
      <c r="C99" s="9" t="s">
        <v>228</v>
      </c>
      <c r="D99" s="9" t="s">
        <v>127</v>
      </c>
      <c r="E99" s="9" t="s">
        <v>50</v>
      </c>
      <c r="F99" s="9" t="s">
        <v>38</v>
      </c>
      <c r="G99" s="9" t="str">
        <f t="shared" si="4"/>
        <v>DX</v>
      </c>
      <c r="H99" s="9" t="s">
        <v>83</v>
      </c>
      <c r="I99" s="12" t="s">
        <v>41</v>
      </c>
      <c r="J99" s="9">
        <v>52</v>
      </c>
      <c r="K99" s="9" t="s">
        <v>229</v>
      </c>
      <c r="L99" s="9"/>
      <c r="M99" s="5"/>
      <c r="N99" s="5"/>
      <c r="O99" s="5"/>
      <c r="P99" s="5"/>
      <c r="Q99" s="5"/>
      <c r="R99" s="5"/>
      <c r="S99" s="5"/>
      <c r="T99" s="5"/>
      <c r="U99" s="5"/>
      <c r="V99" s="5"/>
      <c r="W99" s="5"/>
      <c r="X99" s="5"/>
      <c r="Y99" s="5"/>
      <c r="Z99" s="5"/>
      <c r="AA99" s="5"/>
      <c r="AB99" s="5"/>
    </row>
    <row r="100" spans="1:28" ht="236.25" x14ac:dyDescent="0.2">
      <c r="A100" s="9" t="str">
        <f t="shared" si="5"/>
        <v>SKILL-098</v>
      </c>
      <c r="B100" s="9" t="str">
        <f t="shared" si="0"/>
        <v>CHICOTE - F|M</v>
      </c>
      <c r="C100" s="9" t="s">
        <v>230</v>
      </c>
      <c r="D100" s="9" t="s">
        <v>127</v>
      </c>
      <c r="E100" s="9" t="s">
        <v>50</v>
      </c>
      <c r="F100" s="9" t="s">
        <v>38</v>
      </c>
      <c r="G100" s="9" t="str">
        <f t="shared" si="4"/>
        <v>DX</v>
      </c>
      <c r="H100" s="9" t="s">
        <v>231</v>
      </c>
      <c r="I100" s="12" t="s">
        <v>41</v>
      </c>
      <c r="J100" s="9">
        <v>52</v>
      </c>
      <c r="K100" s="9" t="s">
        <v>232</v>
      </c>
      <c r="L100" s="9"/>
      <c r="M100" s="5"/>
      <c r="N100" s="5"/>
      <c r="O100" s="5"/>
      <c r="P100" s="5"/>
      <c r="Q100" s="5"/>
      <c r="R100" s="5"/>
      <c r="S100" s="5"/>
      <c r="T100" s="5"/>
      <c r="U100" s="5"/>
      <c r="V100" s="5"/>
      <c r="W100" s="5"/>
      <c r="X100" s="5"/>
      <c r="Y100" s="5"/>
      <c r="Z100" s="5"/>
      <c r="AA100" s="5"/>
      <c r="AB100" s="5"/>
    </row>
    <row r="101" spans="1:28" ht="67.5" x14ac:dyDescent="0.2">
      <c r="A101" s="9" t="str">
        <f t="shared" si="5"/>
        <v>SKILL-099</v>
      </c>
      <c r="B101" s="9" t="str">
        <f t="shared" ref="B101" si="6">CONCATENATE(C101," - ",E101,"|",F101)</f>
        <v>ARMEIRO - M|M</v>
      </c>
      <c r="C101" s="9" t="s">
        <v>595</v>
      </c>
      <c r="D101" s="9" t="s">
        <v>234</v>
      </c>
      <c r="E101" s="9" t="s">
        <v>38</v>
      </c>
      <c r="F101" s="9" t="s">
        <v>38</v>
      </c>
      <c r="G101" s="9" t="str">
        <f t="shared" ref="G101" si="7">IF(E101="M", "IQ", "DX")</f>
        <v>IQ</v>
      </c>
      <c r="H101" s="9" t="s">
        <v>235</v>
      </c>
      <c r="I101" s="12" t="s">
        <v>41</v>
      </c>
      <c r="J101" s="9">
        <v>53</v>
      </c>
      <c r="K101" s="9" t="s">
        <v>236</v>
      </c>
      <c r="L101" s="9"/>
      <c r="M101" s="5"/>
      <c r="N101" s="5"/>
      <c r="O101" s="5"/>
      <c r="P101" s="5"/>
      <c r="Q101" s="5"/>
      <c r="R101" s="5"/>
      <c r="S101" s="5"/>
      <c r="T101" s="5"/>
      <c r="U101" s="5"/>
      <c r="V101" s="5"/>
      <c r="W101" s="5"/>
      <c r="X101" s="5"/>
      <c r="Y101" s="5"/>
      <c r="Z101" s="5"/>
      <c r="AA101" s="5"/>
      <c r="AB101" s="5"/>
    </row>
    <row r="102" spans="1:28" ht="67.5" x14ac:dyDescent="0.2">
      <c r="A102" s="9" t="str">
        <f t="shared" si="5"/>
        <v>SKILL-100</v>
      </c>
      <c r="B102" s="9" t="str">
        <f t="shared" si="0"/>
        <v>ARMEIRO | ARMAS DE MÃO - M|M</v>
      </c>
      <c r="C102" s="9" t="s">
        <v>233</v>
      </c>
      <c r="D102" s="9" t="s">
        <v>234</v>
      </c>
      <c r="E102" s="9" t="s">
        <v>38</v>
      </c>
      <c r="F102" s="9" t="s">
        <v>38</v>
      </c>
      <c r="G102" s="9" t="str">
        <f t="shared" si="4"/>
        <v>IQ</v>
      </c>
      <c r="H102" s="9" t="s">
        <v>235</v>
      </c>
      <c r="I102" s="12" t="s">
        <v>41</v>
      </c>
      <c r="J102" s="9">
        <v>53</v>
      </c>
      <c r="K102" s="9" t="s">
        <v>236</v>
      </c>
      <c r="L102" s="9"/>
      <c r="M102" s="5"/>
      <c r="N102" s="5"/>
      <c r="O102" s="5"/>
      <c r="P102" s="5"/>
      <c r="Q102" s="5"/>
      <c r="R102" s="5"/>
      <c r="S102" s="5"/>
      <c r="T102" s="5"/>
      <c r="U102" s="5"/>
      <c r="V102" s="5"/>
      <c r="W102" s="5"/>
      <c r="X102" s="5"/>
      <c r="Y102" s="5"/>
      <c r="Z102" s="5"/>
      <c r="AA102" s="5"/>
      <c r="AB102" s="5"/>
    </row>
    <row r="103" spans="1:28" ht="67.5" x14ac:dyDescent="0.2">
      <c r="A103" s="9" t="str">
        <f t="shared" si="5"/>
        <v>SKILL-101</v>
      </c>
      <c r="B103" s="9" t="str">
        <f t="shared" si="0"/>
        <v>ARMEIRO | ARMADURAS - M|M</v>
      </c>
      <c r="C103" s="9" t="s">
        <v>237</v>
      </c>
      <c r="D103" s="9" t="s">
        <v>234</v>
      </c>
      <c r="E103" s="9" t="s">
        <v>38</v>
      </c>
      <c r="F103" s="9" t="s">
        <v>38</v>
      </c>
      <c r="G103" s="9" t="str">
        <f t="shared" si="4"/>
        <v>IQ</v>
      </c>
      <c r="H103" s="9" t="s">
        <v>235</v>
      </c>
      <c r="I103" s="12" t="s">
        <v>41</v>
      </c>
      <c r="J103" s="9">
        <v>53</v>
      </c>
      <c r="K103" s="9" t="s">
        <v>236</v>
      </c>
      <c r="L103" s="9"/>
      <c r="M103" s="5"/>
      <c r="N103" s="5"/>
      <c r="O103" s="5"/>
      <c r="P103" s="5"/>
      <c r="Q103" s="5"/>
      <c r="R103" s="5"/>
      <c r="S103" s="5"/>
      <c r="T103" s="5"/>
      <c r="U103" s="5"/>
      <c r="V103" s="5"/>
      <c r="W103" s="5"/>
      <c r="X103" s="5"/>
      <c r="Y103" s="5"/>
      <c r="Z103" s="5"/>
      <c r="AA103" s="5"/>
      <c r="AB103" s="5"/>
    </row>
    <row r="104" spans="1:28" ht="67.5" x14ac:dyDescent="0.2">
      <c r="A104" s="9" t="str">
        <f t="shared" si="5"/>
        <v>SKILL-102</v>
      </c>
      <c r="B104" s="9" t="str">
        <f t="shared" si="0"/>
        <v>ARMEIRO | ARCOS E FLECHAS - M|M</v>
      </c>
      <c r="C104" s="9" t="s">
        <v>238</v>
      </c>
      <c r="D104" s="9" t="s">
        <v>234</v>
      </c>
      <c r="E104" s="9" t="s">
        <v>38</v>
      </c>
      <c r="F104" s="9" t="s">
        <v>38</v>
      </c>
      <c r="G104" s="9" t="str">
        <f t="shared" si="4"/>
        <v>IQ</v>
      </c>
      <c r="H104" s="9" t="s">
        <v>235</v>
      </c>
      <c r="I104" s="12" t="s">
        <v>41</v>
      </c>
      <c r="J104" s="9">
        <v>53</v>
      </c>
      <c r="K104" s="9" t="s">
        <v>236</v>
      </c>
      <c r="L104" s="9"/>
      <c r="M104" s="5"/>
      <c r="N104" s="5"/>
      <c r="O104" s="5"/>
      <c r="P104" s="5"/>
      <c r="Q104" s="5"/>
      <c r="R104" s="5"/>
      <c r="S104" s="5"/>
      <c r="T104" s="5"/>
      <c r="U104" s="5"/>
      <c r="V104" s="5"/>
      <c r="W104" s="5"/>
      <c r="X104" s="5"/>
      <c r="Y104" s="5"/>
      <c r="Z104" s="5"/>
      <c r="AA104" s="5"/>
      <c r="AB104" s="5"/>
    </row>
    <row r="105" spans="1:28" ht="67.5" x14ac:dyDescent="0.2">
      <c r="A105" s="9" t="str">
        <f t="shared" si="5"/>
        <v>SKILL-103</v>
      </c>
      <c r="B105" s="9" t="str">
        <f t="shared" si="0"/>
        <v>ARMEIRO | ARMAS DE CERCO - M|M</v>
      </c>
      <c r="C105" s="9" t="s">
        <v>239</v>
      </c>
      <c r="D105" s="9" t="s">
        <v>234</v>
      </c>
      <c r="E105" s="9" t="s">
        <v>38</v>
      </c>
      <c r="F105" s="9" t="s">
        <v>38</v>
      </c>
      <c r="G105" s="9" t="str">
        <f t="shared" si="4"/>
        <v>IQ</v>
      </c>
      <c r="H105" s="9" t="s">
        <v>235</v>
      </c>
      <c r="I105" s="12" t="s">
        <v>41</v>
      </c>
      <c r="J105" s="9">
        <v>53</v>
      </c>
      <c r="K105" s="9" t="s">
        <v>236</v>
      </c>
      <c r="L105" s="9"/>
      <c r="M105" s="5"/>
      <c r="N105" s="5"/>
      <c r="O105" s="5"/>
      <c r="P105" s="5"/>
      <c r="Q105" s="5"/>
      <c r="R105" s="5"/>
      <c r="S105" s="5"/>
      <c r="T105" s="5"/>
      <c r="U105" s="5"/>
      <c r="V105" s="5"/>
      <c r="W105" s="5"/>
      <c r="X105" s="5"/>
      <c r="Y105" s="5"/>
      <c r="Z105" s="5"/>
      <c r="AA105" s="5"/>
      <c r="AB105" s="5"/>
    </row>
    <row r="106" spans="1:28" ht="67.5" x14ac:dyDescent="0.2">
      <c r="A106" s="9" t="str">
        <f t="shared" si="5"/>
        <v>SKILL-104</v>
      </c>
      <c r="B106" s="9" t="str">
        <f t="shared" si="0"/>
        <v>ARMEIRO | ARMAS DE PÓLVORA - M|M</v>
      </c>
      <c r="C106" s="9" t="s">
        <v>240</v>
      </c>
      <c r="D106" s="9" t="s">
        <v>234</v>
      </c>
      <c r="E106" s="9" t="s">
        <v>38</v>
      </c>
      <c r="F106" s="9" t="s">
        <v>38</v>
      </c>
      <c r="G106" s="9" t="str">
        <f t="shared" si="4"/>
        <v>IQ</v>
      </c>
      <c r="H106" s="9" t="s">
        <v>235</v>
      </c>
      <c r="I106" s="12" t="s">
        <v>41</v>
      </c>
      <c r="J106" s="9">
        <v>53</v>
      </c>
      <c r="K106" s="9" t="s">
        <v>236</v>
      </c>
      <c r="L106" s="9"/>
      <c r="M106" s="5"/>
      <c r="N106" s="5"/>
      <c r="O106" s="5"/>
      <c r="P106" s="5"/>
      <c r="Q106" s="5"/>
      <c r="R106" s="5"/>
      <c r="S106" s="5"/>
      <c r="T106" s="5"/>
      <c r="U106" s="5"/>
      <c r="V106" s="5"/>
      <c r="W106" s="5"/>
      <c r="X106" s="5"/>
      <c r="Y106" s="5"/>
      <c r="Z106" s="5"/>
      <c r="AA106" s="5"/>
      <c r="AB106" s="5"/>
    </row>
    <row r="107" spans="1:28" ht="67.5" x14ac:dyDescent="0.2">
      <c r="A107" s="9" t="str">
        <f t="shared" si="5"/>
        <v>SKILL-105</v>
      </c>
      <c r="B107" s="9" t="str">
        <f t="shared" si="0"/>
        <v>ARMEIRO | ARMAS DE FOGO - M|M</v>
      </c>
      <c r="C107" s="9" t="s">
        <v>241</v>
      </c>
      <c r="D107" s="9" t="s">
        <v>234</v>
      </c>
      <c r="E107" s="9" t="s">
        <v>38</v>
      </c>
      <c r="F107" s="9" t="s">
        <v>38</v>
      </c>
      <c r="G107" s="9" t="str">
        <f t="shared" si="4"/>
        <v>IQ</v>
      </c>
      <c r="H107" s="9" t="s">
        <v>235</v>
      </c>
      <c r="I107" s="12" t="s">
        <v>41</v>
      </c>
      <c r="J107" s="9">
        <v>53</v>
      </c>
      <c r="K107" s="9" t="s">
        <v>236</v>
      </c>
      <c r="L107" s="9"/>
      <c r="M107" s="5"/>
      <c r="N107" s="5"/>
      <c r="O107" s="5"/>
      <c r="P107" s="5"/>
      <c r="Q107" s="5"/>
      <c r="R107" s="5"/>
      <c r="S107" s="5"/>
      <c r="T107" s="5"/>
      <c r="U107" s="5"/>
      <c r="V107" s="5"/>
      <c r="W107" s="5"/>
      <c r="X107" s="5"/>
      <c r="Y107" s="5"/>
      <c r="Z107" s="5"/>
      <c r="AA107" s="5"/>
      <c r="AB107" s="5"/>
    </row>
    <row r="108" spans="1:28" ht="56.25" x14ac:dyDescent="0.2">
      <c r="A108" s="9" t="str">
        <f t="shared" si="5"/>
        <v>SKILL-106</v>
      </c>
      <c r="B108" s="9" t="str">
        <f t="shared" si="0"/>
        <v>FERREIRO - M|M</v>
      </c>
      <c r="C108" s="9" t="s">
        <v>242</v>
      </c>
      <c r="D108" s="9" t="s">
        <v>234</v>
      </c>
      <c r="E108" s="9" t="s">
        <v>38</v>
      </c>
      <c r="F108" s="9" t="s">
        <v>38</v>
      </c>
      <c r="G108" s="9" t="str">
        <f t="shared" si="4"/>
        <v>IQ</v>
      </c>
      <c r="H108" s="9" t="s">
        <v>243</v>
      </c>
      <c r="I108" s="12" t="s">
        <v>41</v>
      </c>
      <c r="J108" s="9">
        <v>53</v>
      </c>
      <c r="K108" s="9" t="s">
        <v>244</v>
      </c>
      <c r="L108" s="9"/>
      <c r="M108" s="5"/>
      <c r="N108" s="5"/>
      <c r="O108" s="5"/>
      <c r="P108" s="5"/>
      <c r="Q108" s="5"/>
      <c r="R108" s="5"/>
      <c r="S108" s="5"/>
      <c r="T108" s="5"/>
      <c r="U108" s="5"/>
      <c r="V108" s="5"/>
      <c r="W108" s="5"/>
      <c r="X108" s="5"/>
      <c r="Y108" s="5"/>
      <c r="Z108" s="5"/>
      <c r="AA108" s="5"/>
      <c r="AB108" s="5"/>
    </row>
    <row r="109" spans="1:28" ht="67.5" x14ac:dyDescent="0.2">
      <c r="A109" s="9" t="str">
        <f t="shared" si="5"/>
        <v>SKILL-107</v>
      </c>
      <c r="B109" s="9" t="str">
        <f t="shared" si="0"/>
        <v>CARPINTARIA - M|F</v>
      </c>
      <c r="C109" s="9" t="s">
        <v>245</v>
      </c>
      <c r="D109" s="9" t="s">
        <v>234</v>
      </c>
      <c r="E109" s="9" t="s">
        <v>38</v>
      </c>
      <c r="F109" s="9" t="s">
        <v>50</v>
      </c>
      <c r="G109" s="9" t="str">
        <f t="shared" si="4"/>
        <v>IQ</v>
      </c>
      <c r="H109" s="9" t="s">
        <v>246</v>
      </c>
      <c r="I109" s="12" t="s">
        <v>41</v>
      </c>
      <c r="J109" s="9">
        <v>53</v>
      </c>
      <c r="K109" s="9" t="s">
        <v>247</v>
      </c>
      <c r="L109" s="9"/>
      <c r="M109" s="5"/>
      <c r="N109" s="5"/>
      <c r="O109" s="5"/>
      <c r="P109" s="5"/>
      <c r="Q109" s="5"/>
      <c r="R109" s="5"/>
      <c r="S109" s="5"/>
      <c r="T109" s="5"/>
      <c r="U109" s="5"/>
      <c r="V109" s="5"/>
      <c r="W109" s="5"/>
      <c r="X109" s="5"/>
      <c r="Y109" s="5"/>
      <c r="Z109" s="5"/>
      <c r="AA109" s="5"/>
      <c r="AB109" s="5"/>
    </row>
    <row r="110" spans="1:28" ht="56.25" x14ac:dyDescent="0.2">
      <c r="A110" s="9" t="str">
        <f t="shared" si="5"/>
        <v>SKILL-108</v>
      </c>
      <c r="B110" s="9" t="str">
        <f t="shared" si="0"/>
        <v>CULINÁRIA - M|F</v>
      </c>
      <c r="C110" s="9" t="s">
        <v>248</v>
      </c>
      <c r="D110" s="9" t="s">
        <v>234</v>
      </c>
      <c r="E110" s="9" t="s">
        <v>38</v>
      </c>
      <c r="F110" s="9" t="s">
        <v>50</v>
      </c>
      <c r="G110" s="9" t="str">
        <f t="shared" si="4"/>
        <v>IQ</v>
      </c>
      <c r="H110" s="9" t="s">
        <v>249</v>
      </c>
      <c r="I110" s="12" t="s">
        <v>41</v>
      </c>
      <c r="J110" s="9">
        <v>53</v>
      </c>
      <c r="K110" s="9" t="s">
        <v>250</v>
      </c>
      <c r="L110" s="9"/>
      <c r="M110" s="5"/>
      <c r="N110" s="5"/>
      <c r="O110" s="5"/>
      <c r="P110" s="5"/>
      <c r="Q110" s="5"/>
      <c r="R110" s="5"/>
      <c r="S110" s="5"/>
      <c r="T110" s="5"/>
      <c r="U110" s="5"/>
      <c r="V110" s="5"/>
      <c r="W110" s="5"/>
      <c r="X110" s="5"/>
      <c r="Y110" s="5"/>
      <c r="Z110" s="5"/>
      <c r="AA110" s="5"/>
      <c r="AB110" s="5"/>
    </row>
    <row r="111" spans="1:28" ht="67.5" x14ac:dyDescent="0.2">
      <c r="A111" s="9" t="str">
        <f t="shared" si="5"/>
        <v>SKILL-109</v>
      </c>
      <c r="B111" s="9" t="str">
        <f t="shared" si="0"/>
        <v>JOALHEIRO - M|D</v>
      </c>
      <c r="C111" s="9" t="s">
        <v>251</v>
      </c>
      <c r="D111" s="9" t="s">
        <v>234</v>
      </c>
      <c r="E111" s="9" t="s">
        <v>38</v>
      </c>
      <c r="F111" s="9" t="s">
        <v>39</v>
      </c>
      <c r="G111" s="9" t="str">
        <f t="shared" si="4"/>
        <v>IQ</v>
      </c>
      <c r="H111" s="9" t="s">
        <v>252</v>
      </c>
      <c r="I111" s="12" t="s">
        <v>41</v>
      </c>
      <c r="J111" s="9">
        <v>53</v>
      </c>
      <c r="K111" s="9" t="s">
        <v>253</v>
      </c>
      <c r="L111" s="9"/>
      <c r="M111" s="5"/>
      <c r="N111" s="5"/>
      <c r="O111" s="5"/>
      <c r="P111" s="5"/>
      <c r="Q111" s="5"/>
      <c r="R111" s="5"/>
      <c r="S111" s="5"/>
      <c r="T111" s="5"/>
      <c r="U111" s="5"/>
      <c r="V111" s="5"/>
      <c r="W111" s="5"/>
      <c r="X111" s="5"/>
      <c r="Y111" s="5"/>
      <c r="Z111" s="5"/>
      <c r="AA111" s="5"/>
      <c r="AB111" s="5"/>
    </row>
    <row r="112" spans="1:28" ht="45" x14ac:dyDescent="0.2">
      <c r="A112" s="9" t="str">
        <f t="shared" si="5"/>
        <v>SKILL-110</v>
      </c>
      <c r="B112" s="9" t="str">
        <f t="shared" si="0"/>
        <v>TRABALHOS EM COURO - M|F</v>
      </c>
      <c r="C112" s="9" t="s">
        <v>254</v>
      </c>
      <c r="D112" s="9" t="s">
        <v>234</v>
      </c>
      <c r="E112" s="9" t="s">
        <v>38</v>
      </c>
      <c r="F112" s="9" t="s">
        <v>50</v>
      </c>
      <c r="G112" s="9" t="str">
        <f t="shared" si="4"/>
        <v>IQ</v>
      </c>
      <c r="H112" s="9" t="s">
        <v>255</v>
      </c>
      <c r="I112" s="12" t="s">
        <v>41</v>
      </c>
      <c r="J112" s="9">
        <v>53</v>
      </c>
      <c r="K112" s="9" t="s">
        <v>256</v>
      </c>
      <c r="L112" s="9"/>
      <c r="M112" s="5"/>
      <c r="N112" s="5"/>
      <c r="O112" s="5"/>
      <c r="P112" s="5"/>
      <c r="Q112" s="5"/>
      <c r="R112" s="5"/>
      <c r="S112" s="5"/>
      <c r="T112" s="5"/>
      <c r="U112" s="5"/>
      <c r="V112" s="5"/>
      <c r="W112" s="5"/>
      <c r="X112" s="5"/>
      <c r="Y112" s="5"/>
      <c r="Z112" s="5"/>
      <c r="AA112" s="5"/>
      <c r="AB112" s="5"/>
    </row>
    <row r="113" spans="1:28" ht="112.5" x14ac:dyDescent="0.2">
      <c r="A113" s="9" t="str">
        <f t="shared" si="5"/>
        <v>SKILL-111</v>
      </c>
      <c r="B113" s="9" t="str">
        <f t="shared" ref="B113" si="8">CONCATENATE(C113," - ",E113,"|",F113)</f>
        <v>MECÂNICA - M|M</v>
      </c>
      <c r="C113" s="9" t="s">
        <v>379</v>
      </c>
      <c r="D113" s="9" t="s">
        <v>234</v>
      </c>
      <c r="E113" s="9" t="s">
        <v>38</v>
      </c>
      <c r="F113" s="9" t="s">
        <v>38</v>
      </c>
      <c r="G113" s="9" t="str">
        <f t="shared" ref="G113" si="9">IF(E113="M", "IQ", "DX")</f>
        <v>IQ</v>
      </c>
      <c r="H113" s="9" t="s">
        <v>258</v>
      </c>
      <c r="I113" s="12" t="s">
        <v>41</v>
      </c>
      <c r="J113" s="9">
        <v>54</v>
      </c>
      <c r="K113" s="9" t="s">
        <v>259</v>
      </c>
      <c r="L113" s="9"/>
      <c r="M113" s="5"/>
      <c r="N113" s="5"/>
      <c r="O113" s="5"/>
      <c r="P113" s="5"/>
      <c r="Q113" s="5"/>
      <c r="R113" s="5"/>
      <c r="S113" s="5"/>
      <c r="T113" s="5"/>
      <c r="U113" s="5"/>
      <c r="V113" s="5"/>
      <c r="W113" s="5"/>
      <c r="X113" s="5"/>
      <c r="Y113" s="5"/>
      <c r="Z113" s="5"/>
      <c r="AA113" s="5"/>
      <c r="AB113" s="5"/>
    </row>
    <row r="114" spans="1:28" ht="112.5" x14ac:dyDescent="0.2">
      <c r="A114" s="9" t="str">
        <f t="shared" si="5"/>
        <v>SKILL-112</v>
      </c>
      <c r="B114" s="9" t="str">
        <f t="shared" si="0"/>
        <v>MECÂNICA | CARROÇÕES - M|M</v>
      </c>
      <c r="C114" s="9" t="s">
        <v>257</v>
      </c>
      <c r="D114" s="9" t="s">
        <v>234</v>
      </c>
      <c r="E114" s="9" t="s">
        <v>38</v>
      </c>
      <c r="F114" s="9" t="s">
        <v>38</v>
      </c>
      <c r="G114" s="9" t="str">
        <f t="shared" si="4"/>
        <v>IQ</v>
      </c>
      <c r="H114" s="9" t="s">
        <v>258</v>
      </c>
      <c r="I114" s="12" t="s">
        <v>41</v>
      </c>
      <c r="J114" s="9">
        <v>54</v>
      </c>
      <c r="K114" s="9" t="s">
        <v>259</v>
      </c>
      <c r="L114" s="9"/>
      <c r="M114" s="5"/>
      <c r="N114" s="5"/>
      <c r="O114" s="5"/>
      <c r="P114" s="5"/>
      <c r="Q114" s="5"/>
      <c r="R114" s="5"/>
      <c r="S114" s="5"/>
      <c r="T114" s="5"/>
      <c r="U114" s="5"/>
      <c r="V114" s="5"/>
      <c r="W114" s="5"/>
      <c r="X114" s="5"/>
      <c r="Y114" s="5"/>
      <c r="Z114" s="5"/>
      <c r="AA114" s="5"/>
      <c r="AB114" s="5"/>
    </row>
    <row r="115" spans="1:28" ht="112.5" x14ac:dyDescent="0.2">
      <c r="A115" s="9" t="str">
        <f t="shared" si="5"/>
        <v>SKILL-113</v>
      </c>
      <c r="B115" s="9" t="str">
        <f t="shared" si="0"/>
        <v>MECÂNICA | MECANISMOS COM ENGRENAGENS - M|M</v>
      </c>
      <c r="C115" s="9" t="s">
        <v>260</v>
      </c>
      <c r="D115" s="9" t="s">
        <v>234</v>
      </c>
      <c r="E115" s="9" t="s">
        <v>38</v>
      </c>
      <c r="F115" s="9" t="s">
        <v>38</v>
      </c>
      <c r="G115" s="9" t="str">
        <f t="shared" si="4"/>
        <v>IQ</v>
      </c>
      <c r="H115" s="9" t="s">
        <v>258</v>
      </c>
      <c r="I115" s="12" t="s">
        <v>41</v>
      </c>
      <c r="J115" s="9">
        <v>54</v>
      </c>
      <c r="K115" s="9" t="s">
        <v>259</v>
      </c>
      <c r="L115" s="9"/>
      <c r="M115" s="5"/>
      <c r="N115" s="5"/>
      <c r="O115" s="5"/>
      <c r="P115" s="5"/>
      <c r="Q115" s="5"/>
      <c r="R115" s="5"/>
      <c r="S115" s="5"/>
      <c r="T115" s="5"/>
      <c r="U115" s="5"/>
      <c r="V115" s="5"/>
      <c r="W115" s="5"/>
      <c r="X115" s="5"/>
      <c r="Y115" s="5"/>
      <c r="Z115" s="5"/>
      <c r="AA115" s="5"/>
      <c r="AB115" s="5"/>
    </row>
    <row r="116" spans="1:28" ht="112.5" x14ac:dyDescent="0.2">
      <c r="A116" s="9" t="str">
        <f t="shared" si="5"/>
        <v>SKILL-114</v>
      </c>
      <c r="B116" s="9" t="str">
        <f t="shared" si="0"/>
        <v>MECÂNICA | MÁQUINAS A VAPOR - M|M</v>
      </c>
      <c r="C116" s="9" t="s">
        <v>261</v>
      </c>
      <c r="D116" s="9" t="s">
        <v>234</v>
      </c>
      <c r="E116" s="9" t="s">
        <v>38</v>
      </c>
      <c r="F116" s="9" t="s">
        <v>38</v>
      </c>
      <c r="G116" s="9" t="str">
        <f t="shared" si="4"/>
        <v>IQ</v>
      </c>
      <c r="H116" s="9" t="s">
        <v>258</v>
      </c>
      <c r="I116" s="12" t="s">
        <v>41</v>
      </c>
      <c r="J116" s="9">
        <v>54</v>
      </c>
      <c r="K116" s="9" t="s">
        <v>259</v>
      </c>
      <c r="L116" s="9"/>
      <c r="M116" s="5"/>
      <c r="N116" s="5"/>
      <c r="O116" s="5"/>
      <c r="P116" s="5"/>
      <c r="Q116" s="5"/>
      <c r="R116" s="5"/>
      <c r="S116" s="5"/>
      <c r="T116" s="5"/>
      <c r="U116" s="5"/>
      <c r="V116" s="5"/>
      <c r="W116" s="5"/>
      <c r="X116" s="5"/>
      <c r="Y116" s="5"/>
      <c r="Z116" s="5"/>
      <c r="AA116" s="5"/>
      <c r="AB116" s="5"/>
    </row>
    <row r="117" spans="1:28" ht="112.5" x14ac:dyDescent="0.2">
      <c r="A117" s="9" t="str">
        <f t="shared" si="5"/>
        <v>SKILL-115</v>
      </c>
      <c r="B117" s="9" t="str">
        <f t="shared" si="0"/>
        <v>MECÂNICA | MOTORES A COMBUSTÃO - M|M</v>
      </c>
      <c r="C117" s="9" t="s">
        <v>262</v>
      </c>
      <c r="D117" s="9" t="s">
        <v>234</v>
      </c>
      <c r="E117" s="9" t="s">
        <v>38</v>
      </c>
      <c r="F117" s="9" t="s">
        <v>38</v>
      </c>
      <c r="G117" s="9" t="str">
        <f t="shared" si="4"/>
        <v>IQ</v>
      </c>
      <c r="H117" s="9" t="s">
        <v>258</v>
      </c>
      <c r="I117" s="12" t="s">
        <v>41</v>
      </c>
      <c r="J117" s="9">
        <v>54</v>
      </c>
      <c r="K117" s="9" t="s">
        <v>259</v>
      </c>
      <c r="L117" s="9"/>
      <c r="M117" s="5"/>
      <c r="N117" s="5"/>
      <c r="O117" s="5"/>
      <c r="P117" s="5"/>
      <c r="Q117" s="5"/>
      <c r="R117" s="5"/>
      <c r="S117" s="5"/>
      <c r="T117" s="5"/>
      <c r="U117" s="5"/>
      <c r="V117" s="5"/>
      <c r="W117" s="5"/>
      <c r="X117" s="5"/>
      <c r="Y117" s="5"/>
      <c r="Z117" s="5"/>
      <c r="AA117" s="5"/>
      <c r="AB117" s="5"/>
    </row>
    <row r="118" spans="1:28" ht="112.5" x14ac:dyDescent="0.2">
      <c r="A118" s="9" t="str">
        <f t="shared" si="5"/>
        <v>SKILL-116</v>
      </c>
      <c r="B118" s="9" t="str">
        <f t="shared" si="0"/>
        <v>MECÂNICA | MOTORES ELÉTRICOS - M|M</v>
      </c>
      <c r="C118" s="9" t="s">
        <v>263</v>
      </c>
      <c r="D118" s="9" t="s">
        <v>234</v>
      </c>
      <c r="E118" s="9" t="s">
        <v>38</v>
      </c>
      <c r="F118" s="9" t="s">
        <v>38</v>
      </c>
      <c r="G118" s="9" t="str">
        <f t="shared" si="4"/>
        <v>IQ</v>
      </c>
      <c r="H118" s="9" t="s">
        <v>258</v>
      </c>
      <c r="I118" s="12" t="s">
        <v>41</v>
      </c>
      <c r="J118" s="9">
        <v>54</v>
      </c>
      <c r="K118" s="9" t="s">
        <v>259</v>
      </c>
      <c r="L118" s="9"/>
      <c r="M118" s="5"/>
      <c r="N118" s="5"/>
      <c r="O118" s="5"/>
      <c r="P118" s="5"/>
      <c r="Q118" s="5"/>
      <c r="R118" s="5"/>
      <c r="S118" s="5"/>
      <c r="T118" s="5"/>
      <c r="U118" s="5"/>
      <c r="V118" s="5"/>
      <c r="W118" s="5"/>
      <c r="X118" s="5"/>
      <c r="Y118" s="5"/>
      <c r="Z118" s="5"/>
      <c r="AA118" s="5"/>
      <c r="AB118" s="5"/>
    </row>
    <row r="119" spans="1:28" ht="112.5" x14ac:dyDescent="0.2">
      <c r="A119" s="9" t="str">
        <f t="shared" si="5"/>
        <v>SKILL-117</v>
      </c>
      <c r="B119" s="9" t="str">
        <f t="shared" si="0"/>
        <v>MECÂNICA | NÚCLEOS MÁGICOS - M|M</v>
      </c>
      <c r="C119" s="9" t="s">
        <v>264</v>
      </c>
      <c r="D119" s="9" t="s">
        <v>234</v>
      </c>
      <c r="E119" s="9" t="s">
        <v>38</v>
      </c>
      <c r="F119" s="9" t="s">
        <v>38</v>
      </c>
      <c r="G119" s="9" t="str">
        <f t="shared" si="4"/>
        <v>IQ</v>
      </c>
      <c r="H119" s="9" t="s">
        <v>258</v>
      </c>
      <c r="I119" s="12" t="s">
        <v>41</v>
      </c>
      <c r="J119" s="9">
        <v>54</v>
      </c>
      <c r="K119" s="9" t="s">
        <v>259</v>
      </c>
      <c r="L119" s="9"/>
      <c r="M119" s="5"/>
      <c r="N119" s="5"/>
      <c r="O119" s="5"/>
      <c r="P119" s="5"/>
      <c r="Q119" s="5"/>
      <c r="R119" s="5"/>
      <c r="S119" s="5"/>
      <c r="T119" s="5"/>
      <c r="U119" s="5"/>
      <c r="V119" s="5"/>
      <c r="W119" s="5"/>
      <c r="X119" s="5"/>
      <c r="Y119" s="5"/>
      <c r="Z119" s="5"/>
      <c r="AA119" s="5"/>
      <c r="AB119" s="5"/>
    </row>
    <row r="120" spans="1:28" ht="56.25" x14ac:dyDescent="0.2">
      <c r="A120" s="9" t="str">
        <f t="shared" si="5"/>
        <v>SKILL-118</v>
      </c>
      <c r="B120" s="9" t="str">
        <f t="shared" si="0"/>
        <v>CERÂMICA - M|M</v>
      </c>
      <c r="C120" s="9" t="s">
        <v>265</v>
      </c>
      <c r="D120" s="9" t="s">
        <v>234</v>
      </c>
      <c r="E120" s="9" t="s">
        <v>38</v>
      </c>
      <c r="F120" s="9" t="s">
        <v>38</v>
      </c>
      <c r="G120" s="9" t="str">
        <f t="shared" si="4"/>
        <v>IQ</v>
      </c>
      <c r="H120" s="9" t="s">
        <v>44</v>
      </c>
      <c r="I120" s="12" t="s">
        <v>41</v>
      </c>
      <c r="J120" s="9">
        <v>54</v>
      </c>
      <c r="K120" s="9" t="s">
        <v>266</v>
      </c>
      <c r="L120" s="9"/>
      <c r="M120" s="5"/>
      <c r="N120" s="5"/>
      <c r="O120" s="5"/>
      <c r="P120" s="5"/>
      <c r="Q120" s="5"/>
      <c r="R120" s="5"/>
      <c r="S120" s="5"/>
      <c r="T120" s="5"/>
      <c r="U120" s="5"/>
      <c r="V120" s="5"/>
      <c r="W120" s="5"/>
      <c r="X120" s="5"/>
      <c r="Y120" s="5"/>
      <c r="Z120" s="5"/>
      <c r="AA120" s="5"/>
      <c r="AB120" s="5"/>
    </row>
    <row r="121" spans="1:28" ht="45" x14ac:dyDescent="0.2">
      <c r="A121" s="9" t="str">
        <f t="shared" si="5"/>
        <v>SKILL-119</v>
      </c>
      <c r="B121" s="9" t="str">
        <f t="shared" si="0"/>
        <v>MARCENARIA - F|M</v>
      </c>
      <c r="C121" s="9" t="s">
        <v>267</v>
      </c>
      <c r="D121" s="9" t="s">
        <v>234</v>
      </c>
      <c r="E121" s="9" t="s">
        <v>50</v>
      </c>
      <c r="F121" s="9" t="s">
        <v>38</v>
      </c>
      <c r="G121" s="9" t="str">
        <f t="shared" si="4"/>
        <v>DX</v>
      </c>
      <c r="H121" s="9" t="s">
        <v>268</v>
      </c>
      <c r="I121" s="12" t="s">
        <v>41</v>
      </c>
      <c r="J121" s="9">
        <v>54</v>
      </c>
      <c r="K121" s="9" t="s">
        <v>269</v>
      </c>
      <c r="L121" s="9"/>
      <c r="M121" s="5"/>
      <c r="N121" s="5"/>
      <c r="O121" s="5"/>
      <c r="P121" s="5"/>
      <c r="Q121" s="5"/>
      <c r="R121" s="5"/>
      <c r="S121" s="5"/>
      <c r="T121" s="5"/>
      <c r="U121" s="5"/>
      <c r="V121" s="5"/>
      <c r="W121" s="5"/>
      <c r="X121" s="5"/>
      <c r="Y121" s="5"/>
      <c r="Z121" s="5"/>
      <c r="AA121" s="5"/>
      <c r="AB121" s="5"/>
    </row>
    <row r="122" spans="1:28" ht="112.5" x14ac:dyDescent="0.2">
      <c r="A122" s="9" t="str">
        <f t="shared" si="5"/>
        <v>SKILL-120</v>
      </c>
      <c r="B122" s="9" t="str">
        <f t="shared" si="0"/>
        <v>MÍMICA/PANTOMIMA - M|F</v>
      </c>
      <c r="C122" s="9" t="s">
        <v>270</v>
      </c>
      <c r="D122" s="9" t="s">
        <v>271</v>
      </c>
      <c r="E122" s="9" t="s">
        <v>38</v>
      </c>
      <c r="F122" s="9" t="s">
        <v>50</v>
      </c>
      <c r="G122" s="9" t="str">
        <f t="shared" si="4"/>
        <v>IQ</v>
      </c>
      <c r="H122" s="9" t="s">
        <v>272</v>
      </c>
      <c r="I122" s="12" t="s">
        <v>41</v>
      </c>
      <c r="J122" s="9">
        <v>55</v>
      </c>
      <c r="K122" s="9" t="s">
        <v>273</v>
      </c>
      <c r="L122" s="9"/>
      <c r="M122" s="5"/>
      <c r="N122" s="5"/>
      <c r="O122" s="5"/>
      <c r="P122" s="5"/>
      <c r="Q122" s="5"/>
      <c r="R122" s="5"/>
      <c r="S122" s="5"/>
      <c r="T122" s="5"/>
      <c r="U122" s="5"/>
      <c r="V122" s="5"/>
      <c r="W122" s="5"/>
      <c r="X122" s="5"/>
      <c r="Y122" s="5"/>
      <c r="Z122" s="5"/>
      <c r="AA122" s="5"/>
      <c r="AB122" s="5"/>
    </row>
    <row r="123" spans="1:28" ht="90" x14ac:dyDescent="0.2">
      <c r="A123" s="9" t="str">
        <f t="shared" si="5"/>
        <v>SKILL-121</v>
      </c>
      <c r="B123" s="9" t="str">
        <f t="shared" si="0"/>
        <v>LINGUAGEM DE SINAIS - M|M</v>
      </c>
      <c r="C123" s="9" t="s">
        <v>274</v>
      </c>
      <c r="D123" s="9" t="s">
        <v>271</v>
      </c>
      <c r="E123" s="9" t="s">
        <v>38</v>
      </c>
      <c r="F123" s="9" t="s">
        <v>38</v>
      </c>
      <c r="G123" s="9" t="str">
        <f t="shared" si="4"/>
        <v>IQ</v>
      </c>
      <c r="H123" s="9"/>
      <c r="I123" s="12" t="s">
        <v>41</v>
      </c>
      <c r="J123" s="9">
        <v>55</v>
      </c>
      <c r="K123" s="9" t="s">
        <v>275</v>
      </c>
      <c r="L123" s="9"/>
      <c r="M123" s="5"/>
      <c r="N123" s="5"/>
      <c r="O123" s="5"/>
      <c r="P123" s="5"/>
      <c r="Q123" s="5"/>
      <c r="R123" s="5"/>
      <c r="S123" s="5"/>
      <c r="T123" s="5"/>
      <c r="U123" s="5"/>
      <c r="V123" s="5"/>
      <c r="W123" s="5"/>
      <c r="X123" s="5"/>
      <c r="Y123" s="5"/>
      <c r="Z123" s="5"/>
      <c r="AA123" s="5"/>
      <c r="AB123" s="5"/>
    </row>
    <row r="124" spans="1:28" ht="213.75" x14ac:dyDescent="0.2">
      <c r="A124" s="9" t="str">
        <f t="shared" si="5"/>
        <v>SKILL-122</v>
      </c>
      <c r="B124" s="9" t="str">
        <f t="shared" si="0"/>
        <v>TELEGRAFIA - M|F</v>
      </c>
      <c r="C124" s="9" t="s">
        <v>276</v>
      </c>
      <c r="D124" s="9" t="s">
        <v>271</v>
      </c>
      <c r="E124" s="9" t="s">
        <v>38</v>
      </c>
      <c r="F124" s="9" t="s">
        <v>50</v>
      </c>
      <c r="G124" s="9" t="str">
        <f t="shared" si="4"/>
        <v>IQ</v>
      </c>
      <c r="H124" s="9"/>
      <c r="I124" s="12" t="s">
        <v>41</v>
      </c>
      <c r="J124" s="9">
        <v>55</v>
      </c>
      <c r="K124" s="9" t="s">
        <v>277</v>
      </c>
      <c r="L124" s="9"/>
      <c r="M124" s="5"/>
      <c r="N124" s="5"/>
      <c r="O124" s="5"/>
      <c r="P124" s="5"/>
      <c r="Q124" s="5"/>
      <c r="R124" s="5"/>
      <c r="S124" s="5"/>
      <c r="T124" s="5"/>
      <c r="U124" s="5"/>
      <c r="V124" s="5"/>
      <c r="W124" s="5"/>
      <c r="X124" s="5"/>
      <c r="Y124" s="5"/>
      <c r="Z124" s="5"/>
      <c r="AA124" s="5"/>
      <c r="AB124" s="5"/>
    </row>
    <row r="125" spans="1:28" ht="123.75" x14ac:dyDescent="0.2">
      <c r="A125" s="9" t="str">
        <f t="shared" si="5"/>
        <v>SKILL-123</v>
      </c>
      <c r="B125" s="9" t="str">
        <f t="shared" si="0"/>
        <v>DIAGNOSE - M|D</v>
      </c>
      <c r="C125" s="9" t="s">
        <v>278</v>
      </c>
      <c r="D125" s="9" t="s">
        <v>279</v>
      </c>
      <c r="E125" s="9" t="s">
        <v>38</v>
      </c>
      <c r="F125" s="9" t="s">
        <v>39</v>
      </c>
      <c r="G125" s="9" t="str">
        <f t="shared" si="4"/>
        <v>IQ</v>
      </c>
      <c r="H125" s="9" t="s">
        <v>280</v>
      </c>
      <c r="I125" s="12" t="s">
        <v>41</v>
      </c>
      <c r="J125" s="9">
        <v>56</v>
      </c>
      <c r="K125" s="9" t="s">
        <v>281</v>
      </c>
      <c r="L125" s="9"/>
      <c r="M125" s="5"/>
      <c r="N125" s="5"/>
      <c r="O125" s="5"/>
      <c r="P125" s="5"/>
      <c r="Q125" s="5"/>
      <c r="R125" s="5"/>
      <c r="S125" s="5"/>
      <c r="T125" s="5"/>
      <c r="U125" s="5"/>
      <c r="V125" s="5"/>
      <c r="W125" s="5"/>
      <c r="X125" s="5"/>
      <c r="Y125" s="5"/>
      <c r="Z125" s="5"/>
      <c r="AA125" s="5"/>
      <c r="AB125" s="5"/>
    </row>
    <row r="126" spans="1:28" ht="67.5" x14ac:dyDescent="0.2">
      <c r="A126" s="9" t="str">
        <f t="shared" si="5"/>
        <v>SKILL-124</v>
      </c>
      <c r="B126" s="9" t="str">
        <f t="shared" si="0"/>
        <v>PRIMEIROS SOCORROS - M|F</v>
      </c>
      <c r="C126" s="9" t="s">
        <v>282</v>
      </c>
      <c r="D126" s="9" t="s">
        <v>279</v>
      </c>
      <c r="E126" s="9" t="s">
        <v>38</v>
      </c>
      <c r="F126" s="9" t="s">
        <v>50</v>
      </c>
      <c r="G126" s="9" t="str">
        <f t="shared" si="4"/>
        <v>IQ</v>
      </c>
      <c r="H126" s="9" t="s">
        <v>283</v>
      </c>
      <c r="I126" s="12" t="s">
        <v>41</v>
      </c>
      <c r="J126" s="9">
        <v>56</v>
      </c>
      <c r="K126" s="9" t="s">
        <v>284</v>
      </c>
      <c r="L126" s="9"/>
      <c r="M126" s="5"/>
      <c r="N126" s="5"/>
      <c r="O126" s="5"/>
      <c r="P126" s="5"/>
      <c r="Q126" s="5"/>
      <c r="R126" s="5"/>
      <c r="S126" s="5"/>
      <c r="T126" s="5"/>
      <c r="U126" s="5"/>
      <c r="V126" s="5"/>
      <c r="W126" s="5"/>
      <c r="X126" s="5"/>
      <c r="Y126" s="5"/>
      <c r="Z126" s="5"/>
      <c r="AA126" s="5"/>
      <c r="AB126" s="5"/>
    </row>
    <row r="127" spans="1:28" ht="225" x14ac:dyDescent="0.2">
      <c r="A127" s="9" t="str">
        <f t="shared" si="5"/>
        <v>SKILL-125</v>
      </c>
      <c r="B127" s="9" t="str">
        <f t="shared" si="0"/>
        <v>HIPNOTISMO - M|D</v>
      </c>
      <c r="C127" s="9" t="s">
        <v>285</v>
      </c>
      <c r="D127" s="9" t="s">
        <v>279</v>
      </c>
      <c r="E127" s="9" t="s">
        <v>38</v>
      </c>
      <c r="F127" s="9" t="s">
        <v>39</v>
      </c>
      <c r="G127" s="9" t="str">
        <f t="shared" si="4"/>
        <v>IQ</v>
      </c>
      <c r="H127" s="9"/>
      <c r="I127" s="12" t="s">
        <v>41</v>
      </c>
      <c r="J127" s="9">
        <v>56</v>
      </c>
      <c r="K127" s="9" t="s">
        <v>286</v>
      </c>
      <c r="L127" s="9"/>
      <c r="M127" s="5"/>
      <c r="N127" s="5"/>
      <c r="O127" s="5"/>
      <c r="P127" s="5"/>
      <c r="Q127" s="5"/>
      <c r="R127" s="5"/>
      <c r="S127" s="5"/>
      <c r="T127" s="5"/>
      <c r="U127" s="5"/>
      <c r="V127" s="5"/>
      <c r="W127" s="5"/>
      <c r="X127" s="5"/>
      <c r="Y127" s="5"/>
      <c r="Z127" s="5"/>
      <c r="AA127" s="5"/>
      <c r="AB127" s="5"/>
    </row>
    <row r="128" spans="1:28" ht="157.5" x14ac:dyDescent="0.2">
      <c r="A128" s="9" t="str">
        <f t="shared" si="5"/>
        <v>SKILL-126</v>
      </c>
      <c r="B128" s="9" t="str">
        <f t="shared" si="0"/>
        <v>MEDICINA - M|D</v>
      </c>
      <c r="C128" s="9" t="s">
        <v>287</v>
      </c>
      <c r="D128" s="9" t="s">
        <v>279</v>
      </c>
      <c r="E128" s="9" t="s">
        <v>38</v>
      </c>
      <c r="F128" s="9" t="s">
        <v>39</v>
      </c>
      <c r="G128" s="9" t="str">
        <f t="shared" si="4"/>
        <v>IQ</v>
      </c>
      <c r="H128" s="9" t="s">
        <v>288</v>
      </c>
      <c r="I128" s="12" t="s">
        <v>41</v>
      </c>
      <c r="J128" s="9">
        <v>56</v>
      </c>
      <c r="K128" s="9" t="s">
        <v>289</v>
      </c>
      <c r="L128" s="9"/>
      <c r="M128" s="5"/>
      <c r="N128" s="5"/>
      <c r="O128" s="5"/>
      <c r="P128" s="5"/>
      <c r="Q128" s="5"/>
      <c r="R128" s="5"/>
      <c r="S128" s="5"/>
      <c r="T128" s="5"/>
      <c r="U128" s="5"/>
      <c r="V128" s="5"/>
      <c r="W128" s="5"/>
      <c r="X128" s="5"/>
      <c r="Y128" s="5"/>
      <c r="Z128" s="5"/>
      <c r="AA128" s="5"/>
      <c r="AB128" s="5"/>
    </row>
    <row r="129" spans="1:28" ht="90" x14ac:dyDescent="0.2">
      <c r="A129" s="9" t="str">
        <f t="shared" si="5"/>
        <v>SKILL-127</v>
      </c>
      <c r="B129" s="9" t="str">
        <f t="shared" si="0"/>
        <v>CIRURGIA - M|MD</v>
      </c>
      <c r="C129" s="9" t="s">
        <v>290</v>
      </c>
      <c r="D129" s="9" t="s">
        <v>279</v>
      </c>
      <c r="E129" s="9" t="s">
        <v>38</v>
      </c>
      <c r="F129" s="9" t="s">
        <v>70</v>
      </c>
      <c r="G129" s="9" t="str">
        <f t="shared" si="4"/>
        <v>IQ</v>
      </c>
      <c r="H129" s="9" t="s">
        <v>291</v>
      </c>
      <c r="I129" s="12" t="s">
        <v>41</v>
      </c>
      <c r="J129" s="9">
        <v>56</v>
      </c>
      <c r="K129" s="9" t="s">
        <v>292</v>
      </c>
      <c r="L129" s="9" t="s">
        <v>287</v>
      </c>
      <c r="M129" s="5"/>
      <c r="N129" s="5"/>
      <c r="O129" s="5"/>
      <c r="P129" s="5"/>
      <c r="Q129" s="5"/>
      <c r="R129" s="5"/>
      <c r="S129" s="5"/>
      <c r="T129" s="5"/>
      <c r="U129" s="5"/>
      <c r="V129" s="5"/>
      <c r="W129" s="5"/>
      <c r="X129" s="5"/>
      <c r="Y129" s="5"/>
      <c r="Z129" s="5"/>
      <c r="AA129" s="5"/>
      <c r="AB129" s="5"/>
    </row>
    <row r="130" spans="1:28" ht="56.25" x14ac:dyDescent="0.2">
      <c r="A130" s="9" t="str">
        <f t="shared" si="5"/>
        <v>SKILL-128</v>
      </c>
      <c r="B130" s="9" t="str">
        <f t="shared" si="0"/>
        <v>ESCALADA - F|M</v>
      </c>
      <c r="C130" s="9" t="s">
        <v>293</v>
      </c>
      <c r="D130" s="9" t="s">
        <v>294</v>
      </c>
      <c r="E130" s="9" t="s">
        <v>50</v>
      </c>
      <c r="F130" s="9" t="s">
        <v>38</v>
      </c>
      <c r="G130" s="9" t="str">
        <f t="shared" si="4"/>
        <v>DX</v>
      </c>
      <c r="H130" s="9" t="s">
        <v>295</v>
      </c>
      <c r="I130" s="12" t="s">
        <v>41</v>
      </c>
      <c r="J130" s="9">
        <v>57</v>
      </c>
      <c r="K130" s="9" t="s">
        <v>296</v>
      </c>
      <c r="L130" s="9"/>
      <c r="M130" s="5"/>
      <c r="N130" s="5"/>
      <c r="O130" s="5"/>
      <c r="P130" s="5"/>
      <c r="Q130" s="5"/>
      <c r="R130" s="5"/>
      <c r="S130" s="5"/>
      <c r="T130" s="5"/>
      <c r="U130" s="5"/>
      <c r="V130" s="5"/>
      <c r="W130" s="5"/>
      <c r="X130" s="5"/>
      <c r="Y130" s="5"/>
      <c r="Z130" s="5"/>
      <c r="AA130" s="5"/>
      <c r="AB130" s="5"/>
    </row>
    <row r="131" spans="1:28" ht="90" x14ac:dyDescent="0.2">
      <c r="A131" s="9" t="str">
        <f t="shared" si="5"/>
        <v>SKILL-129</v>
      </c>
      <c r="B131" s="9" t="str">
        <f t="shared" si="0"/>
        <v>PESCARIA - M|F</v>
      </c>
      <c r="C131" s="9" t="s">
        <v>297</v>
      </c>
      <c r="D131" s="9" t="s">
        <v>294</v>
      </c>
      <c r="E131" s="9" t="s">
        <v>38</v>
      </c>
      <c r="F131" s="9" t="s">
        <v>50</v>
      </c>
      <c r="G131" s="9" t="str">
        <f t="shared" si="4"/>
        <v>IQ</v>
      </c>
      <c r="H131" s="9" t="s">
        <v>249</v>
      </c>
      <c r="I131" s="12" t="s">
        <v>41</v>
      </c>
      <c r="J131" s="9">
        <v>57</v>
      </c>
      <c r="K131" s="9" t="s">
        <v>298</v>
      </c>
      <c r="L131" s="9"/>
      <c r="M131" s="5"/>
      <c r="N131" s="5"/>
      <c r="O131" s="5"/>
      <c r="P131" s="5"/>
      <c r="Q131" s="5"/>
      <c r="R131" s="5"/>
      <c r="S131" s="5"/>
      <c r="T131" s="5"/>
      <c r="U131" s="5"/>
      <c r="V131" s="5"/>
      <c r="W131" s="5"/>
      <c r="X131" s="5"/>
      <c r="Y131" s="5"/>
      <c r="Z131" s="5"/>
      <c r="AA131" s="5"/>
      <c r="AB131" s="5"/>
    </row>
    <row r="132" spans="1:28" ht="67.5" x14ac:dyDescent="0.2">
      <c r="A132" s="9" t="str">
        <f t="shared" ref="A132:A195" si="10">LEFT(A131,FIND("-",A131)) &amp; TEXT(VALUE(MID(A131,FIND("-",A131)+1,99)) + 1,"000")</f>
        <v>SKILL-130</v>
      </c>
      <c r="B132" s="9" t="str">
        <f t="shared" si="0"/>
        <v>NATURALISTA - M|D</v>
      </c>
      <c r="C132" s="9" t="s">
        <v>299</v>
      </c>
      <c r="D132" s="9" t="s">
        <v>294</v>
      </c>
      <c r="E132" s="9" t="s">
        <v>38</v>
      </c>
      <c r="F132" s="9" t="s">
        <v>39</v>
      </c>
      <c r="G132" s="9" t="str">
        <f t="shared" si="4"/>
        <v>IQ</v>
      </c>
      <c r="H132" s="9" t="s">
        <v>40</v>
      </c>
      <c r="I132" s="12" t="s">
        <v>41</v>
      </c>
      <c r="J132" s="9">
        <v>57</v>
      </c>
      <c r="K132" s="9" t="s">
        <v>300</v>
      </c>
      <c r="L132" s="9"/>
      <c r="M132" s="5"/>
      <c r="N132" s="5"/>
      <c r="O132" s="5"/>
      <c r="P132" s="5"/>
      <c r="Q132" s="5"/>
      <c r="R132" s="5"/>
      <c r="S132" s="5"/>
      <c r="T132" s="5"/>
      <c r="U132" s="5"/>
      <c r="V132" s="5"/>
      <c r="W132" s="5"/>
      <c r="X132" s="5"/>
      <c r="Y132" s="5"/>
      <c r="Z132" s="5"/>
      <c r="AA132" s="5"/>
      <c r="AB132" s="5"/>
    </row>
    <row r="133" spans="1:28" ht="135" x14ac:dyDescent="0.2">
      <c r="A133" s="9" t="str">
        <f t="shared" si="10"/>
        <v>SKILL-131</v>
      </c>
      <c r="B133" s="9" t="str">
        <f t="shared" si="0"/>
        <v>NAVEGAÇÃO - M|D</v>
      </c>
      <c r="C133" s="9" t="s">
        <v>301</v>
      </c>
      <c r="D133" s="9" t="s">
        <v>294</v>
      </c>
      <c r="E133" s="9" t="s">
        <v>38</v>
      </c>
      <c r="F133" s="9" t="s">
        <v>39</v>
      </c>
      <c r="G133" s="9" t="str">
        <f t="shared" si="4"/>
        <v>IQ</v>
      </c>
      <c r="H133" s="9" t="s">
        <v>302</v>
      </c>
      <c r="I133" s="12" t="s">
        <v>41</v>
      </c>
      <c r="J133" s="9">
        <v>57</v>
      </c>
      <c r="K133" s="9" t="s">
        <v>303</v>
      </c>
      <c r="L133" s="9"/>
      <c r="M133" s="5"/>
      <c r="N133" s="5"/>
      <c r="O133" s="5"/>
      <c r="P133" s="5"/>
      <c r="Q133" s="5"/>
      <c r="R133" s="5"/>
      <c r="S133" s="5"/>
      <c r="T133" s="5"/>
      <c r="U133" s="5"/>
      <c r="V133" s="5"/>
      <c r="W133" s="5"/>
      <c r="X133" s="5"/>
      <c r="Y133" s="5"/>
      <c r="Z133" s="5"/>
      <c r="AA133" s="5"/>
      <c r="AB133" s="5"/>
    </row>
    <row r="134" spans="1:28" ht="45" x14ac:dyDescent="0.2">
      <c r="A134" s="9" t="str">
        <f t="shared" si="10"/>
        <v>SKILL-132</v>
      </c>
      <c r="B134" s="9" t="str">
        <f t="shared" si="0"/>
        <v>MARINHAGEM - M|F</v>
      </c>
      <c r="C134" s="9" t="s">
        <v>304</v>
      </c>
      <c r="D134" s="9" t="s">
        <v>294</v>
      </c>
      <c r="E134" s="9" t="s">
        <v>38</v>
      </c>
      <c r="F134" s="9" t="s">
        <v>50</v>
      </c>
      <c r="G134" s="9" t="str">
        <f t="shared" si="4"/>
        <v>IQ</v>
      </c>
      <c r="H134" s="9" t="s">
        <v>249</v>
      </c>
      <c r="I134" s="12" t="s">
        <v>41</v>
      </c>
      <c r="J134" s="9">
        <v>57</v>
      </c>
      <c r="K134" s="9" t="s">
        <v>305</v>
      </c>
      <c r="L134" s="9"/>
      <c r="M134" s="5"/>
      <c r="N134" s="5"/>
      <c r="O134" s="5"/>
      <c r="P134" s="5"/>
      <c r="Q134" s="5"/>
      <c r="R134" s="5"/>
      <c r="S134" s="5"/>
      <c r="T134" s="5"/>
      <c r="U134" s="5"/>
      <c r="V134" s="5"/>
      <c r="W134" s="5"/>
      <c r="X134" s="5"/>
      <c r="Y134" s="5"/>
      <c r="Z134" s="5"/>
      <c r="AA134" s="5"/>
      <c r="AB134" s="5"/>
    </row>
    <row r="135" spans="1:28" ht="191.25" x14ac:dyDescent="0.2">
      <c r="A135" s="9" t="str">
        <f t="shared" si="10"/>
        <v>SKILL-133</v>
      </c>
      <c r="B135" s="9" t="str">
        <f t="shared" si="0"/>
        <v>SOBREVIVÊNCIA | DESERTO - M|M</v>
      </c>
      <c r="C135" s="10" t="s">
        <v>306</v>
      </c>
      <c r="D135" s="9" t="s">
        <v>294</v>
      </c>
      <c r="E135" s="9" t="s">
        <v>38</v>
      </c>
      <c r="F135" s="9" t="s">
        <v>38</v>
      </c>
      <c r="G135" s="9" t="str">
        <f t="shared" si="4"/>
        <v>IQ</v>
      </c>
      <c r="H135" s="9" t="s">
        <v>307</v>
      </c>
      <c r="I135" s="12" t="s">
        <v>41</v>
      </c>
      <c r="J135" s="9">
        <v>57</v>
      </c>
      <c r="K135" s="9" t="s">
        <v>308</v>
      </c>
      <c r="L135" s="9"/>
      <c r="M135" s="5"/>
      <c r="N135" s="5"/>
      <c r="O135" s="5"/>
      <c r="P135" s="5"/>
      <c r="Q135" s="5"/>
      <c r="R135" s="5"/>
      <c r="S135" s="5"/>
      <c r="T135" s="5"/>
      <c r="U135" s="5"/>
      <c r="V135" s="5"/>
      <c r="W135" s="5"/>
      <c r="X135" s="5"/>
      <c r="Y135" s="5"/>
      <c r="Z135" s="5"/>
      <c r="AA135" s="5"/>
      <c r="AB135" s="5"/>
    </row>
    <row r="136" spans="1:28" ht="191.25" x14ac:dyDescent="0.2">
      <c r="A136" s="9" t="str">
        <f t="shared" si="10"/>
        <v>SKILL-134</v>
      </c>
      <c r="B136" s="9" t="str">
        <f t="shared" si="0"/>
        <v>SOBREVIVÊNCIA | PLANÍCIE - M|M</v>
      </c>
      <c r="C136" s="10" t="s">
        <v>309</v>
      </c>
      <c r="D136" s="9" t="s">
        <v>294</v>
      </c>
      <c r="E136" s="9" t="s">
        <v>38</v>
      </c>
      <c r="F136" s="9" t="s">
        <v>38</v>
      </c>
      <c r="G136" s="9" t="str">
        <f t="shared" si="4"/>
        <v>IQ</v>
      </c>
      <c r="H136" s="9" t="s">
        <v>307</v>
      </c>
      <c r="I136" s="12" t="s">
        <v>41</v>
      </c>
      <c r="J136" s="9">
        <v>57</v>
      </c>
      <c r="K136" s="9" t="s">
        <v>308</v>
      </c>
      <c r="L136" s="9"/>
      <c r="M136" s="5"/>
      <c r="N136" s="5"/>
      <c r="O136" s="5"/>
      <c r="P136" s="5"/>
      <c r="Q136" s="5"/>
      <c r="R136" s="5"/>
      <c r="S136" s="5"/>
      <c r="T136" s="5"/>
      <c r="U136" s="5"/>
      <c r="V136" s="5"/>
      <c r="W136" s="5"/>
      <c r="X136" s="5"/>
      <c r="Y136" s="5"/>
      <c r="Z136" s="5"/>
      <c r="AA136" s="5"/>
      <c r="AB136" s="5"/>
    </row>
    <row r="137" spans="1:28" ht="191.25" x14ac:dyDescent="0.2">
      <c r="A137" s="9" t="str">
        <f t="shared" si="10"/>
        <v>SKILL-135</v>
      </c>
      <c r="B137" s="9" t="str">
        <f t="shared" si="0"/>
        <v>SOBREVIVÊNCIA | ÁRTICO - M|M</v>
      </c>
      <c r="C137" s="10" t="s">
        <v>310</v>
      </c>
      <c r="D137" s="9" t="s">
        <v>294</v>
      </c>
      <c r="E137" s="9" t="s">
        <v>38</v>
      </c>
      <c r="F137" s="9" t="s">
        <v>38</v>
      </c>
      <c r="G137" s="9" t="str">
        <f t="shared" si="4"/>
        <v>IQ</v>
      </c>
      <c r="H137" s="9" t="s">
        <v>307</v>
      </c>
      <c r="I137" s="12" t="s">
        <v>41</v>
      </c>
      <c r="J137" s="9">
        <v>57</v>
      </c>
      <c r="K137" s="9" t="s">
        <v>308</v>
      </c>
      <c r="L137" s="9"/>
      <c r="M137" s="5"/>
      <c r="N137" s="5"/>
      <c r="O137" s="5"/>
      <c r="P137" s="5"/>
      <c r="Q137" s="5"/>
      <c r="R137" s="5"/>
      <c r="S137" s="5"/>
      <c r="T137" s="5"/>
      <c r="U137" s="5"/>
      <c r="V137" s="5"/>
      <c r="W137" s="5"/>
      <c r="X137" s="5"/>
      <c r="Y137" s="5"/>
      <c r="Z137" s="5"/>
      <c r="AA137" s="5"/>
      <c r="AB137" s="5"/>
    </row>
    <row r="138" spans="1:28" ht="191.25" x14ac:dyDescent="0.2">
      <c r="A138" s="9" t="str">
        <f t="shared" si="10"/>
        <v>SKILL-136</v>
      </c>
      <c r="B138" s="9" t="str">
        <f t="shared" si="0"/>
        <v>SOBREVIVÊNCIA | MONTANHA - M|M</v>
      </c>
      <c r="C138" s="10" t="s">
        <v>311</v>
      </c>
      <c r="D138" s="9" t="s">
        <v>294</v>
      </c>
      <c r="E138" s="9" t="s">
        <v>38</v>
      </c>
      <c r="F138" s="9" t="s">
        <v>38</v>
      </c>
      <c r="G138" s="9" t="str">
        <f t="shared" si="4"/>
        <v>IQ</v>
      </c>
      <c r="H138" s="9" t="s">
        <v>307</v>
      </c>
      <c r="I138" s="12" t="s">
        <v>41</v>
      </c>
      <c r="J138" s="9">
        <v>57</v>
      </c>
      <c r="K138" s="9" t="s">
        <v>308</v>
      </c>
      <c r="L138" s="9"/>
      <c r="M138" s="5"/>
      <c r="N138" s="5"/>
      <c r="O138" s="5"/>
      <c r="P138" s="5"/>
      <c r="Q138" s="5"/>
      <c r="R138" s="5"/>
      <c r="S138" s="5"/>
      <c r="T138" s="5"/>
      <c r="U138" s="5"/>
      <c r="V138" s="5"/>
      <c r="W138" s="5"/>
      <c r="X138" s="5"/>
      <c r="Y138" s="5"/>
      <c r="Z138" s="5"/>
      <c r="AA138" s="5"/>
      <c r="AB138" s="5"/>
    </row>
    <row r="139" spans="1:28" ht="191.25" x14ac:dyDescent="0.2">
      <c r="A139" s="9" t="str">
        <f t="shared" si="10"/>
        <v>SKILL-137</v>
      </c>
      <c r="B139" s="9" t="str">
        <f t="shared" si="0"/>
        <v>SOBREVIVÊNCIA | FLORESTA - M|M</v>
      </c>
      <c r="C139" s="10" t="s">
        <v>312</v>
      </c>
      <c r="D139" s="9" t="s">
        <v>294</v>
      </c>
      <c r="E139" s="9" t="s">
        <v>38</v>
      </c>
      <c r="F139" s="9" t="s">
        <v>38</v>
      </c>
      <c r="G139" s="9" t="str">
        <f t="shared" si="4"/>
        <v>IQ</v>
      </c>
      <c r="H139" s="9" t="s">
        <v>307</v>
      </c>
      <c r="I139" s="12" t="s">
        <v>41</v>
      </c>
      <c r="J139" s="9">
        <v>57</v>
      </c>
      <c r="K139" s="9" t="s">
        <v>308</v>
      </c>
      <c r="L139" s="9"/>
      <c r="M139" s="5"/>
      <c r="N139" s="5"/>
      <c r="O139" s="5"/>
      <c r="P139" s="5"/>
      <c r="Q139" s="5"/>
      <c r="R139" s="5"/>
      <c r="S139" s="5"/>
      <c r="T139" s="5"/>
      <c r="U139" s="5"/>
      <c r="V139" s="5"/>
      <c r="W139" s="5"/>
      <c r="X139" s="5"/>
      <c r="Y139" s="5"/>
      <c r="Z139" s="5"/>
      <c r="AA139" s="5"/>
      <c r="AB139" s="5"/>
    </row>
    <row r="140" spans="1:28" ht="191.25" x14ac:dyDescent="0.2">
      <c r="A140" s="9" t="str">
        <f t="shared" si="10"/>
        <v>SKILL-138</v>
      </c>
      <c r="B140" s="9" t="str">
        <f t="shared" si="0"/>
        <v>SOBREVIVÊNCIA | SELVA - M|M</v>
      </c>
      <c r="C140" s="10" t="s">
        <v>313</v>
      </c>
      <c r="D140" s="9" t="s">
        <v>294</v>
      </c>
      <c r="E140" s="9" t="s">
        <v>38</v>
      </c>
      <c r="F140" s="9" t="s">
        <v>38</v>
      </c>
      <c r="G140" s="9" t="str">
        <f t="shared" si="4"/>
        <v>IQ</v>
      </c>
      <c r="H140" s="9" t="s">
        <v>307</v>
      </c>
      <c r="I140" s="12" t="s">
        <v>41</v>
      </c>
      <c r="J140" s="9">
        <v>57</v>
      </c>
      <c r="K140" s="9" t="s">
        <v>308</v>
      </c>
      <c r="L140" s="9"/>
      <c r="M140" s="5"/>
      <c r="N140" s="5"/>
      <c r="O140" s="5"/>
      <c r="P140" s="5"/>
      <c r="Q140" s="5"/>
      <c r="R140" s="5"/>
      <c r="S140" s="5"/>
      <c r="T140" s="5"/>
      <c r="U140" s="5"/>
      <c r="V140" s="5"/>
      <c r="W140" s="5"/>
      <c r="X140" s="5"/>
      <c r="Y140" s="5"/>
      <c r="Z140" s="5"/>
      <c r="AA140" s="5"/>
      <c r="AB140" s="5"/>
    </row>
    <row r="141" spans="1:28" ht="191.25" x14ac:dyDescent="0.2">
      <c r="A141" s="9" t="str">
        <f t="shared" si="10"/>
        <v>SKILL-139</v>
      </c>
      <c r="B141" s="9" t="str">
        <f t="shared" si="0"/>
        <v>SOBREVIVÊNCIA | ILHA LITORAL - M|M</v>
      </c>
      <c r="C141" s="10" t="s">
        <v>314</v>
      </c>
      <c r="D141" s="9" t="s">
        <v>294</v>
      </c>
      <c r="E141" s="9" t="s">
        <v>38</v>
      </c>
      <c r="F141" s="9" t="s">
        <v>38</v>
      </c>
      <c r="G141" s="9" t="str">
        <f t="shared" si="4"/>
        <v>IQ</v>
      </c>
      <c r="H141" s="9" t="s">
        <v>307</v>
      </c>
      <c r="I141" s="12" t="s">
        <v>41</v>
      </c>
      <c r="J141" s="9">
        <v>57</v>
      </c>
      <c r="K141" s="9" t="s">
        <v>308</v>
      </c>
      <c r="L141" s="9"/>
      <c r="M141" s="5"/>
      <c r="N141" s="5"/>
      <c r="O141" s="5"/>
      <c r="P141" s="5"/>
      <c r="Q141" s="5"/>
      <c r="R141" s="5"/>
      <c r="S141" s="5"/>
      <c r="T141" s="5"/>
      <c r="U141" s="5"/>
      <c r="V141" s="5"/>
      <c r="W141" s="5"/>
      <c r="X141" s="5"/>
      <c r="Y141" s="5"/>
      <c r="Z141" s="5"/>
      <c r="AA141" s="5"/>
      <c r="AB141" s="5"/>
    </row>
    <row r="142" spans="1:28" ht="191.25" x14ac:dyDescent="0.2">
      <c r="A142" s="9" t="str">
        <f t="shared" si="10"/>
        <v>SKILL-140</v>
      </c>
      <c r="B142" s="9" t="str">
        <f t="shared" si="0"/>
        <v>SOBREVIVÊNCIA | PANTÂNO - M|M</v>
      </c>
      <c r="C142" s="10" t="s">
        <v>315</v>
      </c>
      <c r="D142" s="9" t="s">
        <v>294</v>
      </c>
      <c r="E142" s="9" t="s">
        <v>38</v>
      </c>
      <c r="F142" s="9" t="s">
        <v>38</v>
      </c>
      <c r="G142" s="9" t="str">
        <f t="shared" si="4"/>
        <v>IQ</v>
      </c>
      <c r="H142" s="9" t="s">
        <v>307</v>
      </c>
      <c r="I142" s="12" t="s">
        <v>41</v>
      </c>
      <c r="J142" s="9">
        <v>57</v>
      </c>
      <c r="K142" s="9" t="s">
        <v>308</v>
      </c>
      <c r="L142" s="9"/>
      <c r="M142" s="5"/>
      <c r="N142" s="5"/>
      <c r="O142" s="5"/>
      <c r="P142" s="5"/>
      <c r="Q142" s="5"/>
      <c r="R142" s="5"/>
      <c r="S142" s="5"/>
      <c r="T142" s="5"/>
      <c r="U142" s="5"/>
      <c r="V142" s="5"/>
      <c r="W142" s="5"/>
      <c r="X142" s="5"/>
      <c r="Y142" s="5"/>
      <c r="Z142" s="5"/>
      <c r="AA142" s="5"/>
      <c r="AB142" s="5"/>
    </row>
    <row r="143" spans="1:28" ht="191.25" x14ac:dyDescent="0.2">
      <c r="A143" s="9" t="str">
        <f t="shared" si="10"/>
        <v>SKILL-141</v>
      </c>
      <c r="B143" s="9" t="str">
        <f t="shared" si="0"/>
        <v>SOBREVIVÊNCIA | RADIOTIVO - M|M</v>
      </c>
      <c r="C143" s="9" t="s">
        <v>316</v>
      </c>
      <c r="D143" s="9" t="s">
        <v>294</v>
      </c>
      <c r="E143" s="9" t="s">
        <v>38</v>
      </c>
      <c r="F143" s="9" t="s">
        <v>38</v>
      </c>
      <c r="G143" s="9" t="str">
        <f t="shared" si="4"/>
        <v>IQ</v>
      </c>
      <c r="H143" s="9" t="s">
        <v>307</v>
      </c>
      <c r="I143" s="12" t="s">
        <v>41</v>
      </c>
      <c r="J143" s="9">
        <v>57</v>
      </c>
      <c r="K143" s="9" t="s">
        <v>308</v>
      </c>
      <c r="L143" s="9"/>
      <c r="M143" s="5"/>
      <c r="N143" s="5"/>
      <c r="O143" s="5"/>
      <c r="P143" s="5"/>
      <c r="Q143" s="5"/>
      <c r="R143" s="5"/>
      <c r="S143" s="5"/>
      <c r="T143" s="5"/>
      <c r="U143" s="5"/>
      <c r="V143" s="5"/>
      <c r="W143" s="5"/>
      <c r="X143" s="5"/>
      <c r="Y143" s="5"/>
      <c r="Z143" s="5"/>
      <c r="AA143" s="5"/>
      <c r="AB143" s="5"/>
    </row>
    <row r="144" spans="1:28" ht="157.5" x14ac:dyDescent="0.2">
      <c r="A144" s="9" t="str">
        <f t="shared" si="10"/>
        <v>SKILL-142</v>
      </c>
      <c r="B144" s="9" t="str">
        <f t="shared" si="0"/>
        <v>RASTREAMENTO - M|M</v>
      </c>
      <c r="C144" s="9" t="s">
        <v>317</v>
      </c>
      <c r="D144" s="9" t="s">
        <v>294</v>
      </c>
      <c r="E144" s="9" t="s">
        <v>38</v>
      </c>
      <c r="F144" s="9" t="s">
        <v>38</v>
      </c>
      <c r="G144" s="9" t="str">
        <f t="shared" si="4"/>
        <v>IQ</v>
      </c>
      <c r="H144" s="9" t="s">
        <v>318</v>
      </c>
      <c r="I144" s="12" t="s">
        <v>41</v>
      </c>
      <c r="J144" s="9">
        <v>57</v>
      </c>
      <c r="K144" s="9" t="s">
        <v>319</v>
      </c>
      <c r="L144" s="9"/>
      <c r="M144" s="5"/>
      <c r="N144" s="5"/>
      <c r="O144" s="5"/>
      <c r="P144" s="5"/>
      <c r="Q144" s="5"/>
      <c r="R144" s="5"/>
      <c r="S144" s="5"/>
      <c r="T144" s="5"/>
      <c r="U144" s="5"/>
      <c r="V144" s="5"/>
      <c r="W144" s="5"/>
      <c r="X144" s="5"/>
      <c r="Y144" s="5"/>
      <c r="Z144" s="5"/>
      <c r="AA144" s="5"/>
      <c r="AB144" s="5"/>
    </row>
    <row r="145" spans="1:28" ht="78.75" x14ac:dyDescent="0.2">
      <c r="A145" s="9" t="str">
        <f t="shared" si="10"/>
        <v>SKILL-143</v>
      </c>
      <c r="B145" s="9" t="str">
        <f t="shared" si="0"/>
        <v>CONTABILIDADE - M|D</v>
      </c>
      <c r="C145" s="9" t="s">
        <v>320</v>
      </c>
      <c r="D145" s="9" t="s">
        <v>321</v>
      </c>
      <c r="E145" s="9" t="s">
        <v>38</v>
      </c>
      <c r="F145" s="9" t="s">
        <v>39</v>
      </c>
      <c r="G145" s="9" t="str">
        <f t="shared" si="4"/>
        <v>IQ</v>
      </c>
      <c r="H145" s="9" t="s">
        <v>322</v>
      </c>
      <c r="I145" s="12" t="s">
        <v>41</v>
      </c>
      <c r="J145" s="9">
        <v>58</v>
      </c>
      <c r="K145" s="9" t="s">
        <v>323</v>
      </c>
      <c r="L145" s="9" t="s">
        <v>324</v>
      </c>
      <c r="M145" s="5"/>
      <c r="N145" s="5"/>
      <c r="O145" s="5"/>
      <c r="P145" s="5"/>
      <c r="Q145" s="5"/>
      <c r="R145" s="5"/>
      <c r="S145" s="5"/>
      <c r="T145" s="5"/>
      <c r="U145" s="5"/>
      <c r="V145" s="5"/>
      <c r="W145" s="5"/>
      <c r="X145" s="5"/>
      <c r="Y145" s="5"/>
      <c r="Z145" s="5"/>
      <c r="AA145" s="5"/>
      <c r="AB145" s="5"/>
    </row>
    <row r="146" spans="1:28" ht="112.5" x14ac:dyDescent="0.2">
      <c r="A146" s="9" t="str">
        <f t="shared" si="10"/>
        <v>SKILL-144</v>
      </c>
      <c r="B146" s="9" t="str">
        <f t="shared" si="0"/>
        <v>OPERAÇÃO DE APARELHOS ELETRÔNICOS | COMUNICAÇÕES - M|F</v>
      </c>
      <c r="C146" s="9" t="s">
        <v>325</v>
      </c>
      <c r="D146" s="9" t="s">
        <v>321</v>
      </c>
      <c r="E146" s="9" t="s">
        <v>38</v>
      </c>
      <c r="F146" s="9" t="s">
        <v>50</v>
      </c>
      <c r="G146" s="9" t="str">
        <f t="shared" si="4"/>
        <v>IQ</v>
      </c>
      <c r="H146" s="9" t="s">
        <v>326</v>
      </c>
      <c r="I146" s="12" t="s">
        <v>41</v>
      </c>
      <c r="J146" s="9">
        <v>58</v>
      </c>
      <c r="K146" s="9" t="s">
        <v>327</v>
      </c>
      <c r="L146" s="9"/>
      <c r="M146" s="5"/>
      <c r="N146" s="5"/>
      <c r="O146" s="5"/>
      <c r="P146" s="5"/>
      <c r="Q146" s="5"/>
      <c r="R146" s="5"/>
      <c r="S146" s="5"/>
      <c r="T146" s="5"/>
      <c r="U146" s="5"/>
      <c r="V146" s="5"/>
      <c r="W146" s="5"/>
      <c r="X146" s="5"/>
      <c r="Y146" s="5"/>
      <c r="Z146" s="5"/>
      <c r="AA146" s="5"/>
      <c r="AB146" s="5"/>
    </row>
    <row r="147" spans="1:28" ht="112.5" x14ac:dyDescent="0.2">
      <c r="A147" s="9" t="str">
        <f t="shared" si="10"/>
        <v>SKILL-145</v>
      </c>
      <c r="B147" s="9" t="str">
        <f t="shared" si="0"/>
        <v>OPERAÇÃO DE APARELHOS ELETRÔNICOS | COMPUTADORES - M|F</v>
      </c>
      <c r="C147" s="9" t="s">
        <v>328</v>
      </c>
      <c r="D147" s="9" t="s">
        <v>321</v>
      </c>
      <c r="E147" s="9" t="s">
        <v>38</v>
      </c>
      <c r="F147" s="9" t="s">
        <v>50</v>
      </c>
      <c r="G147" s="9" t="str">
        <f t="shared" si="4"/>
        <v>IQ</v>
      </c>
      <c r="H147" s="9" t="s">
        <v>326</v>
      </c>
      <c r="I147" s="12" t="s">
        <v>41</v>
      </c>
      <c r="J147" s="9">
        <v>58</v>
      </c>
      <c r="K147" s="9" t="s">
        <v>327</v>
      </c>
      <c r="L147" s="9"/>
      <c r="M147" s="5"/>
      <c r="N147" s="5"/>
      <c r="O147" s="5"/>
      <c r="P147" s="5"/>
      <c r="Q147" s="5"/>
      <c r="R147" s="5"/>
      <c r="S147" s="5"/>
      <c r="T147" s="5"/>
      <c r="U147" s="5"/>
      <c r="V147" s="5"/>
      <c r="W147" s="5"/>
      <c r="X147" s="5"/>
      <c r="Y147" s="5"/>
      <c r="Z147" s="5"/>
      <c r="AA147" s="5"/>
      <c r="AB147" s="5"/>
    </row>
    <row r="148" spans="1:28" ht="112.5" x14ac:dyDescent="0.2">
      <c r="A148" s="9" t="str">
        <f t="shared" si="10"/>
        <v>SKILL-146</v>
      </c>
      <c r="B148" s="9" t="str">
        <f t="shared" si="0"/>
        <v>OPERAÇÃO DE APARELHOS ELETRÔNICOS | SISTEMA DE SEGURANÇA - M|F</v>
      </c>
      <c r="C148" s="9" t="s">
        <v>329</v>
      </c>
      <c r="D148" s="9" t="s">
        <v>321</v>
      </c>
      <c r="E148" s="9" t="s">
        <v>38</v>
      </c>
      <c r="F148" s="9" t="s">
        <v>50</v>
      </c>
      <c r="G148" s="9" t="str">
        <f t="shared" si="4"/>
        <v>IQ</v>
      </c>
      <c r="H148" s="9" t="s">
        <v>326</v>
      </c>
      <c r="I148" s="12" t="s">
        <v>41</v>
      </c>
      <c r="J148" s="9">
        <v>58</v>
      </c>
      <c r="K148" s="9" t="s">
        <v>327</v>
      </c>
      <c r="L148" s="9"/>
      <c r="M148" s="5"/>
      <c r="N148" s="5"/>
      <c r="O148" s="5"/>
      <c r="P148" s="5"/>
      <c r="Q148" s="5"/>
      <c r="R148" s="5"/>
      <c r="S148" s="5"/>
      <c r="T148" s="5"/>
      <c r="U148" s="5"/>
      <c r="V148" s="5"/>
      <c r="W148" s="5"/>
      <c r="X148" s="5"/>
      <c r="Y148" s="5"/>
      <c r="Z148" s="5"/>
      <c r="AA148" s="5"/>
      <c r="AB148" s="5"/>
    </row>
    <row r="149" spans="1:28" ht="112.5" x14ac:dyDescent="0.2">
      <c r="A149" s="9" t="str">
        <f t="shared" si="10"/>
        <v>SKILL-147</v>
      </c>
      <c r="B149" s="9" t="str">
        <f t="shared" si="0"/>
        <v>OPERAÇÃO DE APARELHOS ELETRÔNICOS | ARMAS - M|F</v>
      </c>
      <c r="C149" s="9" t="s">
        <v>330</v>
      </c>
      <c r="D149" s="9" t="s">
        <v>321</v>
      </c>
      <c r="E149" s="9" t="s">
        <v>38</v>
      </c>
      <c r="F149" s="9" t="s">
        <v>50</v>
      </c>
      <c r="G149" s="9" t="str">
        <f t="shared" si="4"/>
        <v>IQ</v>
      </c>
      <c r="H149" s="9" t="s">
        <v>326</v>
      </c>
      <c r="I149" s="12" t="s">
        <v>41</v>
      </c>
      <c r="J149" s="9">
        <v>58</v>
      </c>
      <c r="K149" s="9" t="s">
        <v>327</v>
      </c>
      <c r="L149" s="9"/>
      <c r="M149" s="5"/>
      <c r="N149" s="5"/>
      <c r="O149" s="5"/>
      <c r="P149" s="5"/>
      <c r="Q149" s="5"/>
      <c r="R149" s="5"/>
      <c r="S149" s="5"/>
      <c r="T149" s="5"/>
      <c r="U149" s="5"/>
      <c r="V149" s="5"/>
      <c r="W149" s="5"/>
      <c r="X149" s="5"/>
      <c r="Y149" s="5"/>
      <c r="Z149" s="5"/>
      <c r="AA149" s="5"/>
      <c r="AB149" s="5"/>
    </row>
    <row r="150" spans="1:28" ht="78.75" x14ac:dyDescent="0.2">
      <c r="A150" s="9" t="str">
        <f t="shared" si="10"/>
        <v>SKILL-148</v>
      </c>
      <c r="B150" s="9" t="str">
        <f t="shared" si="0"/>
        <v>OPERAÇÃO DE COMPUTADORES - M|F</v>
      </c>
      <c r="C150" s="9" t="s">
        <v>331</v>
      </c>
      <c r="D150" s="9" t="s">
        <v>321</v>
      </c>
      <c r="E150" s="9" t="s">
        <v>38</v>
      </c>
      <c r="F150" s="9" t="s">
        <v>50</v>
      </c>
      <c r="G150" s="9" t="str">
        <f t="shared" si="4"/>
        <v>IQ</v>
      </c>
      <c r="H150" s="9" t="s">
        <v>249</v>
      </c>
      <c r="I150" s="12" t="s">
        <v>41</v>
      </c>
      <c r="J150" s="9">
        <v>58</v>
      </c>
      <c r="K150" s="9" t="s">
        <v>332</v>
      </c>
      <c r="L150" s="9"/>
      <c r="M150" s="5"/>
      <c r="N150" s="5"/>
      <c r="O150" s="5"/>
      <c r="P150" s="5"/>
      <c r="Q150" s="5"/>
      <c r="R150" s="5"/>
      <c r="S150" s="5"/>
      <c r="T150" s="5"/>
      <c r="U150" s="5"/>
      <c r="V150" s="5"/>
      <c r="W150" s="5"/>
      <c r="X150" s="5"/>
      <c r="Y150" s="5"/>
      <c r="Z150" s="5"/>
      <c r="AA150" s="5"/>
      <c r="AB150" s="5"/>
    </row>
    <row r="151" spans="1:28" ht="90" x14ac:dyDescent="0.2">
      <c r="A151" s="9" t="str">
        <f t="shared" si="10"/>
        <v>SKILL-149</v>
      </c>
      <c r="B151" s="9" t="str">
        <f t="shared" si="0"/>
        <v>HERÁLDICA - M|M</v>
      </c>
      <c r="C151" s="9" t="s">
        <v>333</v>
      </c>
      <c r="D151" s="9" t="s">
        <v>321</v>
      </c>
      <c r="E151" s="9" t="s">
        <v>38</v>
      </c>
      <c r="F151" s="9" t="s">
        <v>38</v>
      </c>
      <c r="G151" s="9" t="str">
        <f t="shared" si="4"/>
        <v>IQ</v>
      </c>
      <c r="H151" s="9" t="s">
        <v>334</v>
      </c>
      <c r="I151" s="12" t="s">
        <v>41</v>
      </c>
      <c r="J151" s="9">
        <v>58</v>
      </c>
      <c r="K151" s="9" t="s">
        <v>335</v>
      </c>
      <c r="L151" s="9"/>
      <c r="M151" s="5"/>
      <c r="N151" s="5"/>
      <c r="O151" s="5"/>
      <c r="P151" s="5"/>
      <c r="Q151" s="5"/>
      <c r="R151" s="5"/>
      <c r="S151" s="5"/>
      <c r="T151" s="5"/>
      <c r="U151" s="5"/>
      <c r="V151" s="5"/>
      <c r="W151" s="5"/>
      <c r="X151" s="5"/>
      <c r="Y151" s="5"/>
      <c r="Z151" s="5"/>
      <c r="AA151" s="5"/>
      <c r="AB151" s="5"/>
    </row>
    <row r="152" spans="1:28" ht="101.25" x14ac:dyDescent="0.2">
      <c r="A152" s="9" t="str">
        <f t="shared" si="10"/>
        <v>SKILL-150</v>
      </c>
      <c r="B152" s="9" t="str">
        <f t="shared" si="0"/>
        <v>JURISPRUDÊNCIA - M|D</v>
      </c>
      <c r="C152" s="9" t="s">
        <v>336</v>
      </c>
      <c r="D152" s="9" t="s">
        <v>321</v>
      </c>
      <c r="E152" s="9" t="s">
        <v>38</v>
      </c>
      <c r="F152" s="9" t="s">
        <v>39</v>
      </c>
      <c r="G152" s="9" t="str">
        <f t="shared" si="4"/>
        <v>IQ</v>
      </c>
      <c r="H152" s="9" t="s">
        <v>40</v>
      </c>
      <c r="I152" s="12" t="s">
        <v>41</v>
      </c>
      <c r="J152" s="9">
        <v>58</v>
      </c>
      <c r="K152" s="9" t="s">
        <v>337</v>
      </c>
      <c r="L152" s="9"/>
      <c r="M152" s="5"/>
      <c r="N152" s="5"/>
      <c r="O152" s="5"/>
      <c r="P152" s="5"/>
      <c r="Q152" s="5"/>
      <c r="R152" s="5"/>
      <c r="S152" s="5"/>
      <c r="T152" s="5"/>
      <c r="U152" s="5"/>
      <c r="V152" s="5"/>
      <c r="W152" s="5"/>
      <c r="X152" s="5"/>
      <c r="Y152" s="5"/>
      <c r="Z152" s="5"/>
      <c r="AA152" s="5"/>
      <c r="AB152" s="5"/>
    </row>
    <row r="153" spans="1:28" ht="45" x14ac:dyDescent="0.2">
      <c r="A153" s="9" t="str">
        <f t="shared" si="10"/>
        <v>SKILL-151</v>
      </c>
      <c r="B153" s="9" t="str">
        <f t="shared" si="0"/>
        <v>AGRONOMIA - M|M</v>
      </c>
      <c r="C153" s="9" t="s">
        <v>338</v>
      </c>
      <c r="D153" s="9" t="s">
        <v>339</v>
      </c>
      <c r="E153" s="9" t="s">
        <v>38</v>
      </c>
      <c r="F153" s="9" t="s">
        <v>38</v>
      </c>
      <c r="G153" s="9" t="str">
        <f t="shared" si="4"/>
        <v>IQ</v>
      </c>
      <c r="H153" s="9" t="s">
        <v>44</v>
      </c>
      <c r="I153" s="12" t="s">
        <v>41</v>
      </c>
      <c r="J153" s="9">
        <v>59</v>
      </c>
      <c r="K153" s="9" t="s">
        <v>340</v>
      </c>
      <c r="L153" s="9"/>
      <c r="M153" s="5"/>
      <c r="N153" s="5"/>
      <c r="O153" s="5"/>
      <c r="P153" s="5"/>
      <c r="Q153" s="5"/>
      <c r="R153" s="5"/>
      <c r="S153" s="5"/>
      <c r="T153" s="5"/>
      <c r="U153" s="5"/>
      <c r="V153" s="5"/>
      <c r="W153" s="5"/>
      <c r="X153" s="5"/>
      <c r="Y153" s="5"/>
      <c r="Z153" s="5"/>
      <c r="AA153" s="5"/>
      <c r="AB153" s="5"/>
    </row>
    <row r="154" spans="1:28" ht="22.5" x14ac:dyDescent="0.2">
      <c r="A154" s="9" t="str">
        <f t="shared" si="10"/>
        <v>SKILL-152</v>
      </c>
      <c r="B154" s="9" t="str">
        <f t="shared" si="0"/>
        <v>ALQUIMIA - M|MD</v>
      </c>
      <c r="C154" s="9" t="s">
        <v>341</v>
      </c>
      <c r="D154" s="9" t="s">
        <v>339</v>
      </c>
      <c r="E154" s="9" t="s">
        <v>38</v>
      </c>
      <c r="F154" s="9" t="s">
        <v>70</v>
      </c>
      <c r="G154" s="9" t="str">
        <f t="shared" si="4"/>
        <v>IQ</v>
      </c>
      <c r="H154" s="9"/>
      <c r="I154" s="12" t="s">
        <v>41</v>
      </c>
      <c r="J154" s="9">
        <v>59</v>
      </c>
      <c r="K154" s="9" t="s">
        <v>342</v>
      </c>
      <c r="L154" s="9"/>
      <c r="M154" s="5"/>
      <c r="N154" s="5"/>
      <c r="O154" s="5"/>
      <c r="P154" s="5"/>
      <c r="Q154" s="5"/>
      <c r="R154" s="5"/>
      <c r="S154" s="5"/>
      <c r="T154" s="5"/>
      <c r="U154" s="5"/>
      <c r="V154" s="5"/>
      <c r="W154" s="5"/>
      <c r="X154" s="5"/>
      <c r="Y154" s="5"/>
      <c r="Z154" s="5"/>
      <c r="AA154" s="5"/>
      <c r="AB154" s="5"/>
    </row>
    <row r="155" spans="1:28" ht="56.25" x14ac:dyDescent="0.2">
      <c r="A155" s="9" t="str">
        <f t="shared" si="10"/>
        <v>SKILL-153</v>
      </c>
      <c r="B155" s="9" t="str">
        <f t="shared" si="0"/>
        <v>ANTROPOLOGIA - M|MD</v>
      </c>
      <c r="C155" s="9" t="s">
        <v>343</v>
      </c>
      <c r="D155" s="9" t="s">
        <v>339</v>
      </c>
      <c r="E155" s="9" t="s">
        <v>38</v>
      </c>
      <c r="F155" s="9" t="s">
        <v>70</v>
      </c>
      <c r="G155" s="9" t="str">
        <f t="shared" si="4"/>
        <v>IQ</v>
      </c>
      <c r="H155" s="9" t="s">
        <v>40</v>
      </c>
      <c r="I155" s="12" t="s">
        <v>41</v>
      </c>
      <c r="J155" s="9">
        <v>59</v>
      </c>
      <c r="K155" s="9" t="s">
        <v>344</v>
      </c>
      <c r="L155" s="9"/>
      <c r="M155" s="5"/>
      <c r="N155" s="5"/>
      <c r="O155" s="5"/>
      <c r="P155" s="5"/>
      <c r="Q155" s="5"/>
      <c r="R155" s="5"/>
      <c r="S155" s="5"/>
      <c r="T155" s="5"/>
      <c r="U155" s="5"/>
      <c r="V155" s="5"/>
      <c r="W155" s="5"/>
      <c r="X155" s="5"/>
      <c r="Y155" s="5"/>
      <c r="Z155" s="5"/>
      <c r="AA155" s="5"/>
      <c r="AB155" s="5"/>
    </row>
    <row r="156" spans="1:28" ht="78.75" x14ac:dyDescent="0.2">
      <c r="A156" s="9" t="str">
        <f t="shared" si="10"/>
        <v>SKILL-154</v>
      </c>
      <c r="B156" s="9" t="str">
        <f t="shared" si="0"/>
        <v>ARQUEOLOGIA - M|D</v>
      </c>
      <c r="C156" s="9" t="s">
        <v>345</v>
      </c>
      <c r="D156" s="9" t="s">
        <v>339</v>
      </c>
      <c r="E156" s="9" t="s">
        <v>38</v>
      </c>
      <c r="F156" s="9" t="s">
        <v>39</v>
      </c>
      <c r="G156" s="9" t="str">
        <f t="shared" si="4"/>
        <v>IQ</v>
      </c>
      <c r="H156" s="9" t="s">
        <v>40</v>
      </c>
      <c r="I156" s="12" t="s">
        <v>41</v>
      </c>
      <c r="J156" s="9">
        <v>59</v>
      </c>
      <c r="K156" s="9" t="s">
        <v>346</v>
      </c>
      <c r="L156" s="9"/>
      <c r="M156" s="5"/>
      <c r="N156" s="5"/>
      <c r="O156" s="5"/>
      <c r="P156" s="5"/>
      <c r="Q156" s="5"/>
      <c r="R156" s="5"/>
      <c r="S156" s="5"/>
      <c r="T156" s="5"/>
      <c r="U156" s="5"/>
      <c r="V156" s="5"/>
      <c r="W156" s="5"/>
      <c r="X156" s="5"/>
      <c r="Y156" s="5"/>
      <c r="Z156" s="5"/>
      <c r="AA156" s="5"/>
      <c r="AB156" s="5"/>
    </row>
    <row r="157" spans="1:28" ht="56.25" x14ac:dyDescent="0.2">
      <c r="A157" s="9" t="str">
        <f t="shared" si="10"/>
        <v>SKILL-155</v>
      </c>
      <c r="B157" s="9" t="str">
        <f t="shared" si="0"/>
        <v>ARQUITETURA - M|M</v>
      </c>
      <c r="C157" s="9" t="s">
        <v>347</v>
      </c>
      <c r="D157" s="9" t="s">
        <v>339</v>
      </c>
      <c r="E157" s="9" t="s">
        <v>38</v>
      </c>
      <c r="F157" s="9" t="s">
        <v>38</v>
      </c>
      <c r="G157" s="9" t="str">
        <f t="shared" si="4"/>
        <v>IQ</v>
      </c>
      <c r="H157" s="9" t="s">
        <v>44</v>
      </c>
      <c r="I157" s="12" t="s">
        <v>41</v>
      </c>
      <c r="J157" s="9">
        <v>59</v>
      </c>
      <c r="K157" s="9" t="s">
        <v>348</v>
      </c>
      <c r="L157" s="9"/>
      <c r="M157" s="5"/>
      <c r="N157" s="5"/>
      <c r="O157" s="5"/>
      <c r="P157" s="5"/>
      <c r="Q157" s="5"/>
      <c r="R157" s="5"/>
      <c r="S157" s="5"/>
      <c r="T157" s="5"/>
      <c r="U157" s="5"/>
      <c r="V157" s="5"/>
      <c r="W157" s="5"/>
      <c r="X157" s="5"/>
      <c r="Y157" s="5"/>
      <c r="Z157" s="5"/>
      <c r="AA157" s="5"/>
      <c r="AB157" s="5"/>
    </row>
    <row r="158" spans="1:28" ht="67.5" x14ac:dyDescent="0.2">
      <c r="A158" s="9" t="str">
        <f t="shared" si="10"/>
        <v>SKILL-156</v>
      </c>
      <c r="B158" s="9" t="str">
        <f t="shared" si="0"/>
        <v>ASTRONOMIA - M|D</v>
      </c>
      <c r="C158" s="9" t="s">
        <v>349</v>
      </c>
      <c r="D158" s="9" t="s">
        <v>339</v>
      </c>
      <c r="E158" s="9" t="s">
        <v>38</v>
      </c>
      <c r="F158" s="9" t="s">
        <v>39</v>
      </c>
      <c r="G158" s="9" t="str">
        <f t="shared" si="4"/>
        <v>IQ</v>
      </c>
      <c r="H158" s="9" t="s">
        <v>40</v>
      </c>
      <c r="I158" s="12" t="s">
        <v>41</v>
      </c>
      <c r="J158" s="9">
        <v>60</v>
      </c>
      <c r="K158" s="9" t="s">
        <v>350</v>
      </c>
      <c r="L158" s="9"/>
      <c r="M158" s="5"/>
      <c r="N158" s="5"/>
      <c r="O158" s="5"/>
      <c r="P158" s="5"/>
      <c r="Q158" s="5"/>
      <c r="R158" s="5"/>
      <c r="S158" s="5"/>
      <c r="T158" s="5"/>
      <c r="U158" s="5"/>
      <c r="V158" s="5"/>
      <c r="W158" s="5"/>
      <c r="X158" s="5"/>
      <c r="Y158" s="5"/>
      <c r="Z158" s="5"/>
      <c r="AA158" s="5"/>
      <c r="AB158" s="5"/>
    </row>
    <row r="159" spans="1:28" ht="22.5" x14ac:dyDescent="0.2">
      <c r="A159" s="9" t="str">
        <f t="shared" si="10"/>
        <v>SKILL-157</v>
      </c>
      <c r="B159" s="9" t="str">
        <f t="shared" si="0"/>
        <v>BIOQUÍMICA - M|MD</v>
      </c>
      <c r="C159" s="9" t="s">
        <v>351</v>
      </c>
      <c r="D159" s="9" t="s">
        <v>339</v>
      </c>
      <c r="E159" s="9" t="s">
        <v>38</v>
      </c>
      <c r="F159" s="9" t="s">
        <v>70</v>
      </c>
      <c r="G159" s="9" t="str">
        <f t="shared" si="4"/>
        <v>IQ</v>
      </c>
      <c r="H159" s="9" t="s">
        <v>352</v>
      </c>
      <c r="I159" s="12" t="s">
        <v>41</v>
      </c>
      <c r="J159" s="9">
        <v>60</v>
      </c>
      <c r="K159" s="9" t="s">
        <v>353</v>
      </c>
      <c r="L159" s="9" t="s">
        <v>354</v>
      </c>
      <c r="M159" s="5"/>
      <c r="N159" s="5"/>
      <c r="O159" s="5"/>
      <c r="P159" s="5"/>
      <c r="Q159" s="5"/>
      <c r="R159" s="5"/>
      <c r="S159" s="5"/>
      <c r="T159" s="5"/>
      <c r="U159" s="5"/>
      <c r="V159" s="5"/>
      <c r="W159" s="5"/>
      <c r="X159" s="5"/>
      <c r="Y159" s="5"/>
      <c r="Z159" s="5"/>
      <c r="AA159" s="5"/>
      <c r="AB159" s="5"/>
    </row>
    <row r="160" spans="1:28" ht="33.75" x14ac:dyDescent="0.2">
      <c r="A160" s="9" t="str">
        <f t="shared" si="10"/>
        <v>SKILL-158</v>
      </c>
      <c r="B160" s="9" t="str">
        <f t="shared" si="0"/>
        <v>BOTÂNICA - M|MD</v>
      </c>
      <c r="C160" s="9" t="s">
        <v>355</v>
      </c>
      <c r="D160" s="9" t="s">
        <v>339</v>
      </c>
      <c r="E160" s="9" t="s">
        <v>38</v>
      </c>
      <c r="F160" s="9" t="s">
        <v>70</v>
      </c>
      <c r="G160" s="9" t="str">
        <f t="shared" si="4"/>
        <v>IQ</v>
      </c>
      <c r="H160" s="9" t="s">
        <v>356</v>
      </c>
      <c r="I160" s="12" t="s">
        <v>41</v>
      </c>
      <c r="J160" s="9">
        <v>60</v>
      </c>
      <c r="K160" s="9" t="s">
        <v>357</v>
      </c>
      <c r="L160" s="9"/>
      <c r="M160" s="5"/>
      <c r="N160" s="5"/>
      <c r="O160" s="5"/>
      <c r="P160" s="5"/>
      <c r="Q160" s="5"/>
      <c r="R160" s="5"/>
      <c r="S160" s="5"/>
      <c r="T160" s="5"/>
      <c r="U160" s="5"/>
      <c r="V160" s="5"/>
      <c r="W160" s="5"/>
      <c r="X160" s="5"/>
      <c r="Y160" s="5"/>
      <c r="Z160" s="5"/>
      <c r="AA160" s="5"/>
      <c r="AB160" s="5"/>
    </row>
    <row r="161" spans="1:28" ht="45" x14ac:dyDescent="0.2">
      <c r="A161" s="9" t="str">
        <f t="shared" si="10"/>
        <v>SKILL-159</v>
      </c>
      <c r="B161" s="9" t="str">
        <f t="shared" si="0"/>
        <v>QUÍMICA - M|D</v>
      </c>
      <c r="C161" s="9" t="s">
        <v>354</v>
      </c>
      <c r="D161" s="9" t="s">
        <v>339</v>
      </c>
      <c r="E161" s="9" t="s">
        <v>38</v>
      </c>
      <c r="F161" s="9" t="s">
        <v>39</v>
      </c>
      <c r="G161" s="9" t="str">
        <f t="shared" si="4"/>
        <v>IQ</v>
      </c>
      <c r="H161" s="9" t="s">
        <v>40</v>
      </c>
      <c r="I161" s="12" t="s">
        <v>41</v>
      </c>
      <c r="J161" s="9">
        <v>60</v>
      </c>
      <c r="K161" s="9" t="s">
        <v>358</v>
      </c>
      <c r="L161" s="9"/>
      <c r="M161" s="5"/>
      <c r="N161" s="5"/>
      <c r="O161" s="5"/>
      <c r="P161" s="5"/>
      <c r="Q161" s="5"/>
      <c r="R161" s="5"/>
      <c r="S161" s="5"/>
      <c r="T161" s="5"/>
      <c r="U161" s="5"/>
      <c r="V161" s="5"/>
      <c r="W161" s="5"/>
      <c r="X161" s="5"/>
      <c r="Y161" s="5"/>
      <c r="Z161" s="5"/>
      <c r="AA161" s="5"/>
      <c r="AB161" s="5"/>
    </row>
    <row r="162" spans="1:28" ht="90" x14ac:dyDescent="0.2">
      <c r="A162" s="9" t="str">
        <f t="shared" si="10"/>
        <v>SKILL-160</v>
      </c>
      <c r="B162" s="9" t="str">
        <f t="shared" si="0"/>
        <v>PROGRAMAÇÃO DE COMPUTADORES - M|D</v>
      </c>
      <c r="C162" s="9" t="s">
        <v>359</v>
      </c>
      <c r="D162" s="9" t="s">
        <v>339</v>
      </c>
      <c r="E162" s="9" t="s">
        <v>38</v>
      </c>
      <c r="F162" s="9" t="s">
        <v>39</v>
      </c>
      <c r="G162" s="9" t="str">
        <f t="shared" si="4"/>
        <v>IQ</v>
      </c>
      <c r="H162" s="9"/>
      <c r="I162" s="12" t="s">
        <v>41</v>
      </c>
      <c r="J162" s="9">
        <v>60</v>
      </c>
      <c r="K162" s="9" t="s">
        <v>360</v>
      </c>
      <c r="L162" s="9" t="s">
        <v>331</v>
      </c>
      <c r="M162" s="5"/>
      <c r="N162" s="5"/>
      <c r="O162" s="5"/>
      <c r="P162" s="5"/>
      <c r="Q162" s="5"/>
      <c r="R162" s="5"/>
      <c r="S162" s="5"/>
      <c r="T162" s="5"/>
      <c r="U162" s="5"/>
      <c r="V162" s="5"/>
      <c r="W162" s="5"/>
      <c r="X162" s="5"/>
      <c r="Y162" s="5"/>
      <c r="Z162" s="5"/>
      <c r="AA162" s="5"/>
      <c r="AB162" s="5"/>
    </row>
    <row r="163" spans="1:28" ht="67.5" x14ac:dyDescent="0.2">
      <c r="A163" s="9" t="str">
        <f t="shared" si="10"/>
        <v>SKILL-161</v>
      </c>
      <c r="B163" s="9" t="str">
        <f t="shared" si="0"/>
        <v>CRIMINOLOGIA - M|M</v>
      </c>
      <c r="C163" s="9" t="s">
        <v>361</v>
      </c>
      <c r="D163" s="9" t="s">
        <v>339</v>
      </c>
      <c r="E163" s="9" t="s">
        <v>38</v>
      </c>
      <c r="F163" s="9" t="s">
        <v>38</v>
      </c>
      <c r="G163" s="9" t="str">
        <f t="shared" si="4"/>
        <v>IQ</v>
      </c>
      <c r="H163" s="9" t="s">
        <v>249</v>
      </c>
      <c r="I163" s="12" t="s">
        <v>41</v>
      </c>
      <c r="J163" s="9">
        <v>60</v>
      </c>
      <c r="K163" s="9" t="s">
        <v>362</v>
      </c>
      <c r="L163" s="9"/>
      <c r="M163" s="5"/>
      <c r="N163" s="5"/>
      <c r="O163" s="5"/>
      <c r="P163" s="5"/>
      <c r="Q163" s="5"/>
      <c r="R163" s="5"/>
      <c r="S163" s="5"/>
      <c r="T163" s="5"/>
      <c r="U163" s="5"/>
      <c r="V163" s="5"/>
      <c r="W163" s="5"/>
      <c r="X163" s="5"/>
      <c r="Y163" s="5"/>
      <c r="Z163" s="5"/>
      <c r="AA163" s="5"/>
      <c r="AB163" s="5"/>
    </row>
    <row r="164" spans="1:28" ht="56.25" x14ac:dyDescent="0.2">
      <c r="A164" s="9" t="str">
        <f t="shared" si="10"/>
        <v>SKILL-162</v>
      </c>
      <c r="B164" s="9" t="str">
        <f t="shared" si="0"/>
        <v>ECONOMIA - M|D</v>
      </c>
      <c r="C164" s="9" t="s">
        <v>363</v>
      </c>
      <c r="D164" s="9" t="s">
        <v>339</v>
      </c>
      <c r="E164" s="9" t="s">
        <v>38</v>
      </c>
      <c r="F164" s="9" t="s">
        <v>39</v>
      </c>
      <c r="G164" s="9" t="str">
        <f t="shared" si="4"/>
        <v>IQ</v>
      </c>
      <c r="H164" s="9" t="s">
        <v>364</v>
      </c>
      <c r="I164" s="12" t="s">
        <v>41</v>
      </c>
      <c r="J164" s="9">
        <v>60</v>
      </c>
      <c r="K164" s="9" t="s">
        <v>365</v>
      </c>
      <c r="L164" s="9"/>
      <c r="M164" s="5"/>
      <c r="N164" s="5"/>
      <c r="O164" s="5"/>
      <c r="P164" s="5"/>
      <c r="Q164" s="5"/>
      <c r="R164" s="5"/>
      <c r="S164" s="5"/>
      <c r="T164" s="5"/>
      <c r="U164" s="5"/>
      <c r="V164" s="5"/>
      <c r="W164" s="5"/>
      <c r="X164" s="5"/>
      <c r="Y164" s="5"/>
      <c r="Z164" s="5"/>
      <c r="AA164" s="5"/>
      <c r="AB164" s="5"/>
    </row>
    <row r="165" spans="1:28" ht="67.5" x14ac:dyDescent="0.2">
      <c r="A165" s="9" t="str">
        <f t="shared" si="10"/>
        <v>SKILL-163</v>
      </c>
      <c r="B165" s="9" t="str">
        <f t="shared" si="0"/>
        <v>ECOLOGIA - M|D</v>
      </c>
      <c r="C165" s="9" t="s">
        <v>366</v>
      </c>
      <c r="D165" s="9" t="s">
        <v>339</v>
      </c>
      <c r="E165" s="9" t="s">
        <v>38</v>
      </c>
      <c r="F165" s="9" t="s">
        <v>39</v>
      </c>
      <c r="G165" s="9" t="str">
        <f t="shared" si="4"/>
        <v>IQ</v>
      </c>
      <c r="H165" s="9" t="s">
        <v>367</v>
      </c>
      <c r="I165" s="12" t="s">
        <v>41</v>
      </c>
      <c r="J165" s="9">
        <v>60</v>
      </c>
      <c r="K165" s="9" t="s">
        <v>368</v>
      </c>
      <c r="L165" s="9"/>
      <c r="M165" s="5"/>
      <c r="N165" s="5"/>
      <c r="O165" s="5"/>
      <c r="P165" s="5"/>
      <c r="Q165" s="5"/>
      <c r="R165" s="5"/>
      <c r="S165" s="5"/>
      <c r="T165" s="5"/>
      <c r="U165" s="5"/>
      <c r="V165" s="5"/>
      <c r="W165" s="5"/>
      <c r="X165" s="5"/>
      <c r="Y165" s="5"/>
      <c r="Z165" s="5"/>
      <c r="AA165" s="5"/>
      <c r="AB165" s="5"/>
    </row>
    <row r="166" spans="1:28" ht="123.75" x14ac:dyDescent="0.2">
      <c r="A166" s="9" t="str">
        <f t="shared" si="10"/>
        <v>SKILL-164</v>
      </c>
      <c r="B166" s="9" t="str">
        <f t="shared" si="0"/>
        <v>ELETRÔNICA | COMUNICAÇÕES - M|D</v>
      </c>
      <c r="C166" s="9" t="s">
        <v>369</v>
      </c>
      <c r="D166" s="9" t="s">
        <v>339</v>
      </c>
      <c r="E166" s="9" t="s">
        <v>38</v>
      </c>
      <c r="F166" s="9" t="s">
        <v>39</v>
      </c>
      <c r="G166" s="9" t="str">
        <f t="shared" si="4"/>
        <v>IQ</v>
      </c>
      <c r="H166" s="9" t="s">
        <v>370</v>
      </c>
      <c r="I166" s="12" t="s">
        <v>41</v>
      </c>
      <c r="J166" s="9">
        <v>60</v>
      </c>
      <c r="K166" s="9" t="s">
        <v>371</v>
      </c>
      <c r="L166" s="9" t="s">
        <v>372</v>
      </c>
      <c r="M166" s="5"/>
      <c r="N166" s="5"/>
      <c r="O166" s="5"/>
      <c r="P166" s="5"/>
      <c r="Q166" s="5"/>
      <c r="R166" s="5"/>
      <c r="S166" s="5"/>
      <c r="T166" s="5"/>
      <c r="U166" s="5"/>
      <c r="V166" s="5"/>
      <c r="W166" s="5"/>
      <c r="X166" s="5"/>
      <c r="Y166" s="5"/>
      <c r="Z166" s="5"/>
      <c r="AA166" s="5"/>
      <c r="AB166" s="5"/>
    </row>
    <row r="167" spans="1:28" ht="123.75" x14ac:dyDescent="0.2">
      <c r="A167" s="9" t="str">
        <f t="shared" si="10"/>
        <v>SKILL-165</v>
      </c>
      <c r="B167" s="9" t="str">
        <f t="shared" si="0"/>
        <v>ELETRÔNICA | COMPUTADORES - M|D</v>
      </c>
      <c r="C167" s="9" t="s">
        <v>373</v>
      </c>
      <c r="D167" s="9" t="s">
        <v>339</v>
      </c>
      <c r="E167" s="9" t="s">
        <v>38</v>
      </c>
      <c r="F167" s="9" t="s">
        <v>39</v>
      </c>
      <c r="G167" s="9" t="str">
        <f t="shared" si="4"/>
        <v>IQ</v>
      </c>
      <c r="H167" s="9" t="s">
        <v>370</v>
      </c>
      <c r="I167" s="12" t="s">
        <v>41</v>
      </c>
      <c r="J167" s="9">
        <v>60</v>
      </c>
      <c r="K167" s="9" t="s">
        <v>371</v>
      </c>
      <c r="L167" s="9"/>
      <c r="M167" s="5"/>
      <c r="N167" s="5"/>
      <c r="O167" s="5"/>
      <c r="P167" s="5"/>
      <c r="Q167" s="5"/>
      <c r="R167" s="5"/>
      <c r="S167" s="5"/>
      <c r="T167" s="5"/>
      <c r="U167" s="5"/>
      <c r="V167" s="5"/>
      <c r="W167" s="5"/>
      <c r="X167" s="5"/>
      <c r="Y167" s="5"/>
      <c r="Z167" s="5"/>
      <c r="AA167" s="5"/>
      <c r="AB167" s="5"/>
    </row>
    <row r="168" spans="1:28" ht="123.75" x14ac:dyDescent="0.2">
      <c r="A168" s="9" t="str">
        <f t="shared" si="10"/>
        <v>SKILL-166</v>
      </c>
      <c r="B168" s="9" t="str">
        <f t="shared" si="0"/>
        <v>ELETRÔNICA | SISTEMA DE SEGURANÇA - M|D</v>
      </c>
      <c r="C168" s="9" t="s">
        <v>374</v>
      </c>
      <c r="D168" s="9" t="s">
        <v>339</v>
      </c>
      <c r="E168" s="9" t="s">
        <v>38</v>
      </c>
      <c r="F168" s="9" t="s">
        <v>39</v>
      </c>
      <c r="G168" s="9" t="str">
        <f t="shared" si="4"/>
        <v>IQ</v>
      </c>
      <c r="H168" s="9" t="s">
        <v>370</v>
      </c>
      <c r="I168" s="12" t="s">
        <v>41</v>
      </c>
      <c r="J168" s="9">
        <v>60</v>
      </c>
      <c r="K168" s="9" t="s">
        <v>371</v>
      </c>
      <c r="L168" s="9"/>
      <c r="M168" s="5"/>
      <c r="N168" s="5"/>
      <c r="O168" s="5"/>
      <c r="P168" s="5"/>
      <c r="Q168" s="5"/>
      <c r="R168" s="5"/>
      <c r="S168" s="5"/>
      <c r="T168" s="5"/>
      <c r="U168" s="5"/>
      <c r="V168" s="5"/>
      <c r="W168" s="5"/>
      <c r="X168" s="5"/>
      <c r="Y168" s="5"/>
      <c r="Z168" s="5"/>
      <c r="AA168" s="5"/>
      <c r="AB168" s="5"/>
    </row>
    <row r="169" spans="1:28" ht="123.75" x14ac:dyDescent="0.2">
      <c r="A169" s="9" t="str">
        <f t="shared" si="10"/>
        <v>SKILL-167</v>
      </c>
      <c r="B169" s="9" t="str">
        <f t="shared" si="0"/>
        <v>ELETRÔNICA | ARMAS - M|D</v>
      </c>
      <c r="C169" s="9" t="s">
        <v>375</v>
      </c>
      <c r="D169" s="9" t="s">
        <v>339</v>
      </c>
      <c r="E169" s="9" t="s">
        <v>38</v>
      </c>
      <c r="F169" s="9" t="s">
        <v>39</v>
      </c>
      <c r="G169" s="9" t="str">
        <f t="shared" si="4"/>
        <v>IQ</v>
      </c>
      <c r="H169" s="9" t="s">
        <v>370</v>
      </c>
      <c r="I169" s="12" t="s">
        <v>41</v>
      </c>
      <c r="J169" s="9">
        <v>60</v>
      </c>
      <c r="K169" s="9" t="s">
        <v>371</v>
      </c>
      <c r="L169" s="9"/>
      <c r="M169" s="5"/>
      <c r="N169" s="5"/>
      <c r="O169" s="5"/>
      <c r="P169" s="5"/>
      <c r="Q169" s="5"/>
      <c r="R169" s="5"/>
      <c r="S169" s="5"/>
      <c r="T169" s="5"/>
      <c r="U169" s="5"/>
      <c r="V169" s="5"/>
      <c r="W169" s="5"/>
      <c r="X169" s="5"/>
      <c r="Y169" s="5"/>
      <c r="Z169" s="5"/>
      <c r="AA169" s="5"/>
      <c r="AB169" s="5"/>
    </row>
    <row r="170" spans="1:28" ht="78.75" x14ac:dyDescent="0.2">
      <c r="A170" s="9" t="str">
        <f t="shared" si="10"/>
        <v>SKILL-168</v>
      </c>
      <c r="B170" s="9" t="str">
        <f t="shared" si="0"/>
        <v>ENGENHARIA MECÂNICA - M|D</v>
      </c>
      <c r="C170" s="9" t="s">
        <v>596</v>
      </c>
      <c r="D170" s="9" t="s">
        <v>339</v>
      </c>
      <c r="E170" s="9" t="s">
        <v>38</v>
      </c>
      <c r="F170" s="9" t="s">
        <v>39</v>
      </c>
      <c r="G170" s="9" t="str">
        <f t="shared" si="4"/>
        <v>IQ</v>
      </c>
      <c r="H170" s="9" t="s">
        <v>377</v>
      </c>
      <c r="I170" s="12" t="s">
        <v>41</v>
      </c>
      <c r="J170" s="9">
        <v>60</v>
      </c>
      <c r="K170" s="9" t="s">
        <v>378</v>
      </c>
      <c r="L170" s="9" t="s">
        <v>379</v>
      </c>
      <c r="M170" s="5"/>
      <c r="N170" s="5"/>
      <c r="O170" s="5"/>
      <c r="P170" s="5"/>
      <c r="Q170" s="5"/>
      <c r="R170" s="5"/>
      <c r="S170" s="5"/>
      <c r="T170" s="5"/>
      <c r="U170" s="5"/>
      <c r="V170" s="5"/>
      <c r="W170" s="5"/>
      <c r="X170" s="5"/>
      <c r="Y170" s="5"/>
      <c r="Z170" s="5"/>
      <c r="AA170" s="5"/>
      <c r="AB170" s="5"/>
    </row>
    <row r="171" spans="1:28" ht="78.75" x14ac:dyDescent="0.2">
      <c r="A171" s="9" t="str">
        <f t="shared" si="10"/>
        <v>SKILL-169</v>
      </c>
      <c r="B171" s="9" t="str">
        <f t="shared" ref="B171" si="11">CONCATENATE(C171," - ",E171,"|",F171)</f>
        <v>ENGENHARIA MECÂNICA | MÁQUINAS PRIMITIVAS - M|D</v>
      </c>
      <c r="C171" s="9" t="s">
        <v>376</v>
      </c>
      <c r="D171" s="9" t="s">
        <v>339</v>
      </c>
      <c r="E171" s="9" t="s">
        <v>38</v>
      </c>
      <c r="F171" s="9" t="s">
        <v>39</v>
      </c>
      <c r="G171" s="9" t="str">
        <f t="shared" ref="G171" si="12">IF(E171="M", "IQ", "DX")</f>
        <v>IQ</v>
      </c>
      <c r="H171" s="9" t="s">
        <v>377</v>
      </c>
      <c r="I171" s="12" t="s">
        <v>41</v>
      </c>
      <c r="J171" s="9">
        <v>60</v>
      </c>
      <c r="K171" s="9" t="s">
        <v>378</v>
      </c>
      <c r="L171" s="9" t="s">
        <v>379</v>
      </c>
      <c r="M171" s="5"/>
      <c r="N171" s="5"/>
      <c r="O171" s="5"/>
      <c r="P171" s="5"/>
      <c r="Q171" s="5"/>
      <c r="R171" s="5"/>
      <c r="S171" s="5"/>
      <c r="T171" s="5"/>
      <c r="U171" s="5"/>
      <c r="V171" s="5"/>
      <c r="W171" s="5"/>
      <c r="X171" s="5"/>
      <c r="Y171" s="5"/>
      <c r="Z171" s="5"/>
      <c r="AA171" s="5"/>
      <c r="AB171" s="5"/>
    </row>
    <row r="172" spans="1:28" ht="78.75" x14ac:dyDescent="0.2">
      <c r="A172" s="9" t="str">
        <f t="shared" si="10"/>
        <v>SKILL-170</v>
      </c>
      <c r="B172" s="9" t="str">
        <f t="shared" si="0"/>
        <v>ENGENHARIA MECÂNICA | MÁQUINAS PRIMITIVAS - M|D</v>
      </c>
      <c r="C172" s="9" t="s">
        <v>376</v>
      </c>
      <c r="D172" s="9" t="s">
        <v>339</v>
      </c>
      <c r="E172" s="9" t="s">
        <v>38</v>
      </c>
      <c r="F172" s="9" t="s">
        <v>39</v>
      </c>
      <c r="G172" s="9" t="str">
        <f t="shared" si="4"/>
        <v>IQ</v>
      </c>
      <c r="H172" s="9" t="s">
        <v>377</v>
      </c>
      <c r="I172" s="12" t="s">
        <v>41</v>
      </c>
      <c r="J172" s="9">
        <v>60</v>
      </c>
      <c r="K172" s="9" t="s">
        <v>378</v>
      </c>
      <c r="L172" s="9" t="s">
        <v>379</v>
      </c>
      <c r="M172" s="5"/>
      <c r="N172" s="5"/>
      <c r="O172" s="5"/>
      <c r="P172" s="5"/>
      <c r="Q172" s="5"/>
      <c r="R172" s="5"/>
      <c r="S172" s="5"/>
      <c r="T172" s="5"/>
      <c r="U172" s="5"/>
      <c r="V172" s="5"/>
      <c r="W172" s="5"/>
      <c r="X172" s="5"/>
      <c r="Y172" s="5"/>
      <c r="Z172" s="5"/>
      <c r="AA172" s="5"/>
      <c r="AB172" s="5"/>
    </row>
    <row r="173" spans="1:28" ht="78.75" x14ac:dyDescent="0.2">
      <c r="A173" s="9" t="str">
        <f t="shared" si="10"/>
        <v>SKILL-171</v>
      </c>
      <c r="B173" s="9" t="str">
        <f t="shared" si="0"/>
        <v>ENGENHARIA MECÂNICA | MINERÇÃO - M|D</v>
      </c>
      <c r="C173" s="9" t="s">
        <v>380</v>
      </c>
      <c r="D173" s="9" t="s">
        <v>339</v>
      </c>
      <c r="E173" s="9" t="s">
        <v>38</v>
      </c>
      <c r="F173" s="9" t="s">
        <v>39</v>
      </c>
      <c r="G173" s="9" t="str">
        <f t="shared" si="4"/>
        <v>IQ</v>
      </c>
      <c r="H173" s="9" t="s">
        <v>377</v>
      </c>
      <c r="I173" s="12" t="s">
        <v>41</v>
      </c>
      <c r="J173" s="9">
        <v>60</v>
      </c>
      <c r="K173" s="9" t="s">
        <v>378</v>
      </c>
      <c r="L173" s="9" t="s">
        <v>381</v>
      </c>
      <c r="M173" s="5"/>
      <c r="N173" s="5"/>
      <c r="O173" s="5"/>
      <c r="P173" s="5"/>
      <c r="Q173" s="5"/>
      <c r="R173" s="5"/>
      <c r="S173" s="5"/>
      <c r="T173" s="5"/>
      <c r="U173" s="5"/>
      <c r="V173" s="5"/>
      <c r="W173" s="5"/>
      <c r="X173" s="5"/>
      <c r="Y173" s="5"/>
      <c r="Z173" s="5"/>
      <c r="AA173" s="5"/>
      <c r="AB173" s="5"/>
    </row>
    <row r="174" spans="1:28" ht="78.75" x14ac:dyDescent="0.2">
      <c r="A174" s="9" t="str">
        <f t="shared" si="10"/>
        <v>SKILL-172</v>
      </c>
      <c r="B174" s="9" t="str">
        <f t="shared" si="0"/>
        <v>ENGENHARIA MECÂNICA | VEÍCULOS - M|D</v>
      </c>
      <c r="C174" s="9" t="s">
        <v>382</v>
      </c>
      <c r="D174" s="9" t="s">
        <v>339</v>
      </c>
      <c r="E174" s="9" t="s">
        <v>38</v>
      </c>
      <c r="F174" s="9" t="s">
        <v>39</v>
      </c>
      <c r="G174" s="9" t="str">
        <f t="shared" si="4"/>
        <v>IQ</v>
      </c>
      <c r="H174" s="9" t="s">
        <v>377</v>
      </c>
      <c r="I174" s="12" t="s">
        <v>41</v>
      </c>
      <c r="J174" s="9">
        <v>60</v>
      </c>
      <c r="K174" s="9" t="s">
        <v>378</v>
      </c>
      <c r="L174" s="9" t="s">
        <v>262</v>
      </c>
      <c r="M174" s="5"/>
      <c r="N174" s="5"/>
      <c r="O174" s="5"/>
      <c r="P174" s="5"/>
      <c r="Q174" s="5"/>
      <c r="R174" s="5"/>
      <c r="S174" s="5"/>
      <c r="T174" s="5"/>
      <c r="U174" s="5"/>
      <c r="V174" s="5"/>
      <c r="W174" s="5"/>
      <c r="X174" s="5"/>
      <c r="Y174" s="5"/>
      <c r="Z174" s="5"/>
      <c r="AA174" s="5"/>
      <c r="AB174" s="5"/>
    </row>
    <row r="175" spans="1:28" ht="78.75" x14ac:dyDescent="0.2">
      <c r="A175" s="9" t="str">
        <f t="shared" si="10"/>
        <v>SKILL-173</v>
      </c>
      <c r="B175" s="9" t="str">
        <f t="shared" si="0"/>
        <v>ENGENHARIA MECÂNICA | BOMBAS E ARMADILHAS - M|D</v>
      </c>
      <c r="C175" s="9" t="s">
        <v>383</v>
      </c>
      <c r="D175" s="9" t="s">
        <v>339</v>
      </c>
      <c r="E175" s="9" t="s">
        <v>38</v>
      </c>
      <c r="F175" s="9" t="s">
        <v>39</v>
      </c>
      <c r="G175" s="9" t="str">
        <f t="shared" si="4"/>
        <v>IQ</v>
      </c>
      <c r="H175" s="9" t="s">
        <v>377</v>
      </c>
      <c r="I175" s="12" t="s">
        <v>41</v>
      </c>
      <c r="J175" s="9">
        <v>60</v>
      </c>
      <c r="K175" s="9" t="s">
        <v>378</v>
      </c>
      <c r="L175" s="9" t="s">
        <v>384</v>
      </c>
      <c r="M175" s="5"/>
      <c r="N175" s="5"/>
      <c r="O175" s="5"/>
      <c r="P175" s="5"/>
      <c r="Q175" s="5"/>
      <c r="R175" s="5"/>
      <c r="S175" s="5"/>
      <c r="T175" s="5"/>
      <c r="U175" s="5"/>
      <c r="V175" s="5"/>
      <c r="W175" s="5"/>
      <c r="X175" s="5"/>
      <c r="Y175" s="5"/>
      <c r="Z175" s="5"/>
      <c r="AA175" s="5"/>
      <c r="AB175" s="5"/>
    </row>
    <row r="176" spans="1:28" ht="78.75" x14ac:dyDescent="0.2">
      <c r="A176" s="9" t="str">
        <f t="shared" si="10"/>
        <v>SKILL-174</v>
      </c>
      <c r="B176" s="9" t="str">
        <f t="shared" si="0"/>
        <v>ENGENHARIA MECÂNICA | ENCANAMENTOS - M|D</v>
      </c>
      <c r="C176" s="9" t="s">
        <v>385</v>
      </c>
      <c r="D176" s="9" t="s">
        <v>339</v>
      </c>
      <c r="E176" s="9" t="s">
        <v>38</v>
      </c>
      <c r="F176" s="9" t="s">
        <v>39</v>
      </c>
      <c r="G176" s="9" t="str">
        <f t="shared" si="4"/>
        <v>IQ</v>
      </c>
      <c r="H176" s="9" t="s">
        <v>377</v>
      </c>
      <c r="I176" s="12" t="s">
        <v>41</v>
      </c>
      <c r="J176" s="9">
        <v>60</v>
      </c>
      <c r="K176" s="9" t="s">
        <v>378</v>
      </c>
      <c r="L176" s="9"/>
      <c r="M176" s="5"/>
      <c r="N176" s="5"/>
      <c r="O176" s="5"/>
      <c r="P176" s="5"/>
      <c r="Q176" s="5"/>
      <c r="R176" s="5"/>
      <c r="S176" s="5"/>
      <c r="T176" s="5"/>
      <c r="U176" s="5"/>
      <c r="V176" s="5"/>
      <c r="W176" s="5"/>
      <c r="X176" s="5"/>
      <c r="Y176" s="5"/>
      <c r="Z176" s="5"/>
      <c r="AA176" s="5"/>
      <c r="AB176" s="5"/>
    </row>
    <row r="177" spans="1:28" ht="78.75" x14ac:dyDescent="0.2">
      <c r="A177" s="9" t="str">
        <f t="shared" si="10"/>
        <v>SKILL-175</v>
      </c>
      <c r="B177" s="9" t="str">
        <f t="shared" si="0"/>
        <v>ENGENHARIA MECÂNICA | ENGRENAGENS - M|D</v>
      </c>
      <c r="C177" s="9" t="s">
        <v>386</v>
      </c>
      <c r="D177" s="9" t="s">
        <v>339</v>
      </c>
      <c r="E177" s="9" t="s">
        <v>38</v>
      </c>
      <c r="F177" s="9" t="s">
        <v>39</v>
      </c>
      <c r="G177" s="9" t="str">
        <f t="shared" si="4"/>
        <v>IQ</v>
      </c>
      <c r="H177" s="9" t="s">
        <v>377</v>
      </c>
      <c r="I177" s="12" t="s">
        <v>41</v>
      </c>
      <c r="J177" s="9">
        <v>60</v>
      </c>
      <c r="K177" s="9" t="s">
        <v>378</v>
      </c>
      <c r="L177" s="9" t="s">
        <v>260</v>
      </c>
      <c r="M177" s="5"/>
      <c r="N177" s="5"/>
      <c r="O177" s="5"/>
      <c r="P177" s="5"/>
      <c r="Q177" s="5"/>
      <c r="R177" s="5"/>
      <c r="S177" s="5"/>
      <c r="T177" s="5"/>
      <c r="U177" s="5"/>
      <c r="V177" s="5"/>
      <c r="W177" s="5"/>
      <c r="X177" s="5"/>
      <c r="Y177" s="5"/>
      <c r="Z177" s="5"/>
      <c r="AA177" s="5"/>
      <c r="AB177" s="5"/>
    </row>
    <row r="178" spans="1:28" ht="78.75" x14ac:dyDescent="0.2">
      <c r="A178" s="9" t="str">
        <f t="shared" si="10"/>
        <v>SKILL-176</v>
      </c>
      <c r="B178" s="9" t="str">
        <f t="shared" si="0"/>
        <v>ENGENHARIA MECÂNICA | ELETRICIDADE - M|D</v>
      </c>
      <c r="C178" s="9" t="s">
        <v>387</v>
      </c>
      <c r="D178" s="9" t="s">
        <v>339</v>
      </c>
      <c r="E178" s="9" t="s">
        <v>38</v>
      </c>
      <c r="F178" s="9" t="s">
        <v>39</v>
      </c>
      <c r="G178" s="9" t="str">
        <f t="shared" si="4"/>
        <v>IQ</v>
      </c>
      <c r="H178" s="9" t="s">
        <v>377</v>
      </c>
      <c r="I178" s="12" t="s">
        <v>41</v>
      </c>
      <c r="J178" s="9">
        <v>60</v>
      </c>
      <c r="K178" s="9" t="s">
        <v>378</v>
      </c>
      <c r="L178" s="9"/>
      <c r="M178" s="5"/>
      <c r="N178" s="5"/>
      <c r="O178" s="5"/>
      <c r="P178" s="5"/>
      <c r="Q178" s="5"/>
      <c r="R178" s="5"/>
      <c r="S178" s="5"/>
      <c r="T178" s="5"/>
      <c r="U178" s="5"/>
      <c r="V178" s="5"/>
      <c r="W178" s="5"/>
      <c r="X178" s="5"/>
      <c r="Y178" s="5"/>
      <c r="Z178" s="5"/>
      <c r="AA178" s="5"/>
      <c r="AB178" s="5"/>
    </row>
    <row r="179" spans="1:28" ht="78.75" x14ac:dyDescent="0.2">
      <c r="A179" s="9" t="str">
        <f t="shared" si="10"/>
        <v>SKILL-177</v>
      </c>
      <c r="B179" s="9" t="str">
        <f t="shared" si="0"/>
        <v>ENGENHARIA MECÂNICA | ENGENHARIA DE COMBATE - M|D</v>
      </c>
      <c r="C179" s="9" t="s">
        <v>388</v>
      </c>
      <c r="D179" s="9" t="s">
        <v>339</v>
      </c>
      <c r="E179" s="9" t="s">
        <v>38</v>
      </c>
      <c r="F179" s="9" t="s">
        <v>39</v>
      </c>
      <c r="G179" s="9" t="str">
        <f t="shared" si="4"/>
        <v>IQ</v>
      </c>
      <c r="H179" s="9" t="s">
        <v>377</v>
      </c>
      <c r="I179" s="12" t="s">
        <v>41</v>
      </c>
      <c r="J179" s="9">
        <v>60</v>
      </c>
      <c r="K179" s="9" t="s">
        <v>378</v>
      </c>
      <c r="L179" s="9"/>
      <c r="M179" s="5"/>
      <c r="N179" s="5"/>
      <c r="O179" s="5"/>
      <c r="P179" s="5"/>
      <c r="Q179" s="5"/>
      <c r="R179" s="5"/>
      <c r="S179" s="5"/>
      <c r="T179" s="5"/>
      <c r="U179" s="5"/>
      <c r="V179" s="5"/>
      <c r="W179" s="5"/>
      <c r="X179" s="5"/>
      <c r="Y179" s="5"/>
      <c r="Z179" s="5"/>
      <c r="AA179" s="5"/>
      <c r="AB179" s="5"/>
    </row>
    <row r="180" spans="1:28" ht="78.75" x14ac:dyDescent="0.2">
      <c r="A180" s="9" t="str">
        <f t="shared" si="10"/>
        <v>SKILL-178</v>
      </c>
      <c r="B180" s="9" t="str">
        <f t="shared" si="0"/>
        <v>ENGENHARIA MECÂNICA | ARMAS DE FOGO - M|D</v>
      </c>
      <c r="C180" s="9" t="s">
        <v>389</v>
      </c>
      <c r="D180" s="9" t="s">
        <v>339</v>
      </c>
      <c r="E180" s="9" t="s">
        <v>38</v>
      </c>
      <c r="F180" s="9" t="s">
        <v>39</v>
      </c>
      <c r="G180" s="9" t="str">
        <f t="shared" si="4"/>
        <v>IQ</v>
      </c>
      <c r="H180" s="9" t="s">
        <v>377</v>
      </c>
      <c r="I180" s="12" t="s">
        <v>41</v>
      </c>
      <c r="J180" s="9">
        <v>60</v>
      </c>
      <c r="K180" s="9" t="s">
        <v>378</v>
      </c>
      <c r="L180" s="9"/>
      <c r="M180" s="5"/>
      <c r="N180" s="5"/>
      <c r="O180" s="5"/>
      <c r="P180" s="5"/>
      <c r="Q180" s="5"/>
      <c r="R180" s="5"/>
      <c r="S180" s="5"/>
      <c r="T180" s="5"/>
      <c r="U180" s="5"/>
      <c r="V180" s="5"/>
      <c r="W180" s="5"/>
      <c r="X180" s="5"/>
      <c r="Y180" s="5"/>
      <c r="Z180" s="5"/>
      <c r="AA180" s="5"/>
      <c r="AB180" s="5"/>
    </row>
    <row r="181" spans="1:28" ht="56.25" x14ac:dyDescent="0.2">
      <c r="A181" s="9" t="str">
        <f t="shared" si="10"/>
        <v>SKILL-179</v>
      </c>
      <c r="B181" s="9" t="str">
        <f t="shared" si="0"/>
        <v>TÉCNICAS JUDICIAIS - M|D</v>
      </c>
      <c r="C181" s="9" t="s">
        <v>390</v>
      </c>
      <c r="D181" s="9" t="s">
        <v>339</v>
      </c>
      <c r="E181" s="9" t="s">
        <v>38</v>
      </c>
      <c r="F181" s="9" t="s">
        <v>39</v>
      </c>
      <c r="G181" s="9" t="str">
        <f t="shared" si="4"/>
        <v>IQ</v>
      </c>
      <c r="H181" s="9" t="s">
        <v>391</v>
      </c>
      <c r="I181" s="12" t="s">
        <v>41</v>
      </c>
      <c r="J181" s="9">
        <v>61</v>
      </c>
      <c r="K181" s="9" t="s">
        <v>392</v>
      </c>
      <c r="L181" s="9"/>
      <c r="M181" s="5"/>
      <c r="N181" s="5"/>
      <c r="O181" s="5"/>
      <c r="P181" s="5"/>
      <c r="Q181" s="5"/>
      <c r="R181" s="5"/>
      <c r="S181" s="5"/>
      <c r="T181" s="5"/>
      <c r="U181" s="5"/>
      <c r="V181" s="5"/>
      <c r="W181" s="5"/>
      <c r="X181" s="5"/>
      <c r="Y181" s="5"/>
      <c r="Z181" s="5"/>
      <c r="AA181" s="5"/>
      <c r="AB181" s="5"/>
    </row>
    <row r="182" spans="1:28" ht="56.25" x14ac:dyDescent="0.2">
      <c r="A182" s="9" t="str">
        <f t="shared" si="10"/>
        <v>SKILL-180</v>
      </c>
      <c r="B182" s="9" t="str">
        <f t="shared" si="0"/>
        <v>GENÉTICA - M|MD</v>
      </c>
      <c r="C182" s="9" t="s">
        <v>393</v>
      </c>
      <c r="D182" s="9" t="s">
        <v>339</v>
      </c>
      <c r="E182" s="9" t="s">
        <v>38</v>
      </c>
      <c r="F182" s="9" t="s">
        <v>70</v>
      </c>
      <c r="G182" s="9" t="str">
        <f t="shared" si="4"/>
        <v>IQ</v>
      </c>
      <c r="H182" s="9" t="s">
        <v>394</v>
      </c>
      <c r="I182" s="12" t="s">
        <v>41</v>
      </c>
      <c r="J182" s="9">
        <v>61</v>
      </c>
      <c r="K182" s="9" t="s">
        <v>395</v>
      </c>
      <c r="L182" s="9"/>
      <c r="M182" s="5"/>
      <c r="N182" s="5"/>
      <c r="O182" s="5"/>
      <c r="P182" s="5"/>
      <c r="Q182" s="5"/>
      <c r="R182" s="5"/>
      <c r="S182" s="5"/>
      <c r="T182" s="5"/>
      <c r="U182" s="5"/>
      <c r="V182" s="5"/>
      <c r="W182" s="5"/>
      <c r="X182" s="5"/>
      <c r="Y182" s="5"/>
      <c r="Z182" s="5"/>
      <c r="AA182" s="5"/>
      <c r="AB182" s="5"/>
    </row>
    <row r="183" spans="1:28" ht="56.25" x14ac:dyDescent="0.2">
      <c r="A183" s="9" t="str">
        <f t="shared" si="10"/>
        <v>SKILL-181</v>
      </c>
      <c r="B183" s="9" t="str">
        <f t="shared" si="0"/>
        <v>GEOLOGIA - M|D</v>
      </c>
      <c r="C183" s="9" t="s">
        <v>381</v>
      </c>
      <c r="D183" s="9" t="s">
        <v>339</v>
      </c>
      <c r="E183" s="9" t="s">
        <v>38</v>
      </c>
      <c r="F183" s="9" t="s">
        <v>39</v>
      </c>
      <c r="G183" s="9" t="str">
        <f t="shared" si="4"/>
        <v>IQ</v>
      </c>
      <c r="H183" s="9" t="s">
        <v>396</v>
      </c>
      <c r="I183" s="12" t="s">
        <v>41</v>
      </c>
      <c r="J183" s="9">
        <v>61</v>
      </c>
      <c r="K183" s="9" t="s">
        <v>397</v>
      </c>
      <c r="L183" s="9"/>
      <c r="M183" s="5"/>
      <c r="N183" s="5"/>
      <c r="O183" s="5"/>
      <c r="P183" s="5"/>
      <c r="Q183" s="5"/>
      <c r="R183" s="5"/>
      <c r="S183" s="5"/>
      <c r="T183" s="5"/>
      <c r="U183" s="5"/>
      <c r="V183" s="5"/>
      <c r="W183" s="5"/>
      <c r="X183" s="5"/>
      <c r="Y183" s="5"/>
      <c r="Z183" s="5"/>
      <c r="AA183" s="5"/>
      <c r="AB183" s="5"/>
    </row>
    <row r="184" spans="1:28" ht="56.25" x14ac:dyDescent="0.2">
      <c r="A184" s="9" t="str">
        <f t="shared" si="10"/>
        <v>SKILL-182</v>
      </c>
      <c r="B184" s="9" t="str">
        <f t="shared" si="0"/>
        <v>HISTÓRIA - M|D</v>
      </c>
      <c r="C184" s="9" t="s">
        <v>398</v>
      </c>
      <c r="D184" s="9" t="s">
        <v>339</v>
      </c>
      <c r="E184" s="9" t="s">
        <v>38</v>
      </c>
      <c r="F184" s="9" t="s">
        <v>39</v>
      </c>
      <c r="G184" s="9" t="str">
        <f t="shared" si="4"/>
        <v>IQ</v>
      </c>
      <c r="H184" s="9" t="s">
        <v>399</v>
      </c>
      <c r="I184" s="12" t="s">
        <v>41</v>
      </c>
      <c r="J184" s="9">
        <v>61</v>
      </c>
      <c r="K184" s="9" t="s">
        <v>400</v>
      </c>
      <c r="L184" s="9"/>
      <c r="M184" s="5"/>
      <c r="N184" s="5"/>
      <c r="O184" s="5"/>
      <c r="P184" s="5"/>
      <c r="Q184" s="5"/>
      <c r="R184" s="5"/>
      <c r="S184" s="5"/>
      <c r="T184" s="5"/>
      <c r="U184" s="5"/>
      <c r="V184" s="5"/>
      <c r="W184" s="5"/>
      <c r="X184" s="5"/>
      <c r="Y184" s="5"/>
      <c r="Z184" s="5"/>
      <c r="AA184" s="5"/>
      <c r="AB184" s="5"/>
    </row>
    <row r="185" spans="1:28" ht="56.25" x14ac:dyDescent="0.2">
      <c r="A185" s="9" t="str">
        <f t="shared" si="10"/>
        <v>SKILL-183</v>
      </c>
      <c r="B185" s="9" t="str">
        <f t="shared" si="0"/>
        <v>LINGUÍSTICA - M|MD</v>
      </c>
      <c r="C185" s="9" t="s">
        <v>401</v>
      </c>
      <c r="D185" s="9" t="s">
        <v>339</v>
      </c>
      <c r="E185" s="9" t="s">
        <v>38</v>
      </c>
      <c r="F185" s="9" t="s">
        <v>70</v>
      </c>
      <c r="G185" s="9" t="str">
        <f t="shared" si="4"/>
        <v>IQ</v>
      </c>
      <c r="H185" s="9"/>
      <c r="I185" s="12" t="s">
        <v>41</v>
      </c>
      <c r="J185" s="9">
        <v>61</v>
      </c>
      <c r="K185" s="9" t="s">
        <v>402</v>
      </c>
      <c r="L185" s="9"/>
      <c r="M185" s="5"/>
      <c r="N185" s="5"/>
      <c r="O185" s="5"/>
      <c r="P185" s="5"/>
      <c r="Q185" s="5"/>
      <c r="R185" s="5"/>
      <c r="S185" s="5"/>
      <c r="T185" s="5"/>
      <c r="U185" s="5"/>
      <c r="V185" s="5"/>
      <c r="W185" s="5"/>
      <c r="X185" s="5"/>
      <c r="Y185" s="5"/>
      <c r="Z185" s="5"/>
      <c r="AA185" s="5"/>
      <c r="AB185" s="5"/>
    </row>
    <row r="186" spans="1:28" ht="67.5" x14ac:dyDescent="0.2">
      <c r="A186" s="9" t="str">
        <f t="shared" si="10"/>
        <v>SKILL-184</v>
      </c>
      <c r="B186" s="9" t="str">
        <f t="shared" si="0"/>
        <v>LITERATURA - M|D</v>
      </c>
      <c r="C186" s="9" t="s">
        <v>403</v>
      </c>
      <c r="D186" s="9" t="s">
        <v>339</v>
      </c>
      <c r="E186" s="9" t="s">
        <v>38</v>
      </c>
      <c r="F186" s="9" t="s">
        <v>39</v>
      </c>
      <c r="G186" s="9" t="str">
        <f t="shared" si="4"/>
        <v>IQ</v>
      </c>
      <c r="H186" s="9" t="s">
        <v>40</v>
      </c>
      <c r="I186" s="12" t="s">
        <v>41</v>
      </c>
      <c r="J186" s="9">
        <v>61</v>
      </c>
      <c r="K186" s="9" t="s">
        <v>404</v>
      </c>
      <c r="L186" s="9"/>
      <c r="M186" s="5"/>
      <c r="N186" s="5"/>
      <c r="O186" s="5"/>
      <c r="P186" s="5"/>
      <c r="Q186" s="5"/>
      <c r="R186" s="5"/>
      <c r="S186" s="5"/>
      <c r="T186" s="5"/>
      <c r="U186" s="5"/>
      <c r="V186" s="5"/>
      <c r="W186" s="5"/>
      <c r="X186" s="5"/>
      <c r="Y186" s="5"/>
      <c r="Z186" s="5"/>
      <c r="AA186" s="5"/>
      <c r="AB186" s="5"/>
    </row>
    <row r="187" spans="1:28" ht="78.75" x14ac:dyDescent="0.2">
      <c r="A187" s="9" t="str">
        <f t="shared" si="10"/>
        <v>SKILL-185</v>
      </c>
      <c r="B187" s="9" t="str">
        <f t="shared" si="0"/>
        <v>MATEMÁTICA - M|D</v>
      </c>
      <c r="C187" s="9" t="s">
        <v>372</v>
      </c>
      <c r="D187" s="9" t="s">
        <v>339</v>
      </c>
      <c r="E187" s="9" t="s">
        <v>38</v>
      </c>
      <c r="F187" s="9" t="s">
        <v>39</v>
      </c>
      <c r="G187" s="9" t="str">
        <f t="shared" si="4"/>
        <v>IQ</v>
      </c>
      <c r="H187" s="9" t="s">
        <v>40</v>
      </c>
      <c r="I187" s="12" t="s">
        <v>41</v>
      </c>
      <c r="J187" s="9">
        <v>61</v>
      </c>
      <c r="K187" s="9" t="s">
        <v>405</v>
      </c>
      <c r="L187" s="9"/>
      <c r="M187" s="5"/>
      <c r="N187" s="5"/>
      <c r="O187" s="5"/>
      <c r="P187" s="5"/>
      <c r="Q187" s="5"/>
      <c r="R187" s="5"/>
      <c r="S187" s="5"/>
      <c r="T187" s="5"/>
      <c r="U187" s="5"/>
      <c r="V187" s="5"/>
      <c r="W187" s="5"/>
      <c r="X187" s="5"/>
      <c r="Y187" s="5"/>
      <c r="Z187" s="5"/>
      <c r="AA187" s="5"/>
      <c r="AB187" s="5"/>
    </row>
    <row r="188" spans="1:28" ht="56.25" x14ac:dyDescent="0.2">
      <c r="A188" s="9" t="str">
        <f t="shared" si="10"/>
        <v>SKILL-186</v>
      </c>
      <c r="B188" s="9" t="str">
        <f t="shared" si="0"/>
        <v>METALOGRAFIA - M|D</v>
      </c>
      <c r="C188" s="9" t="s">
        <v>406</v>
      </c>
      <c r="D188" s="9" t="s">
        <v>339</v>
      </c>
      <c r="E188" s="9" t="s">
        <v>38</v>
      </c>
      <c r="F188" s="9" t="s">
        <v>39</v>
      </c>
      <c r="G188" s="9" t="str">
        <f t="shared" si="4"/>
        <v>IQ</v>
      </c>
      <c r="H188" s="9" t="s">
        <v>407</v>
      </c>
      <c r="I188" s="12" t="s">
        <v>41</v>
      </c>
      <c r="J188" s="9">
        <v>61</v>
      </c>
      <c r="K188" s="9" t="s">
        <v>408</v>
      </c>
      <c r="L188" s="9"/>
      <c r="M188" s="5"/>
      <c r="N188" s="5"/>
      <c r="O188" s="5"/>
      <c r="P188" s="5"/>
      <c r="Q188" s="5"/>
      <c r="R188" s="5"/>
      <c r="S188" s="5"/>
      <c r="T188" s="5"/>
      <c r="U188" s="5"/>
      <c r="V188" s="5"/>
      <c r="W188" s="5"/>
      <c r="X188" s="5"/>
      <c r="Y188" s="5"/>
      <c r="Z188" s="5"/>
      <c r="AA188" s="5"/>
      <c r="AB188" s="5"/>
    </row>
    <row r="189" spans="1:28" ht="225" x14ac:dyDescent="0.2">
      <c r="A189" s="9" t="str">
        <f t="shared" si="10"/>
        <v>SKILL-187</v>
      </c>
      <c r="B189" s="9" t="str">
        <f t="shared" si="0"/>
        <v>METEREOLOGIA - M|M</v>
      </c>
      <c r="C189" s="9" t="s">
        <v>409</v>
      </c>
      <c r="D189" s="9" t="s">
        <v>339</v>
      </c>
      <c r="E189" s="9" t="s">
        <v>38</v>
      </c>
      <c r="F189" s="9" t="s">
        <v>38</v>
      </c>
      <c r="G189" s="9" t="str">
        <f t="shared" si="4"/>
        <v>IQ</v>
      </c>
      <c r="H189" s="9" t="s">
        <v>44</v>
      </c>
      <c r="I189" s="12" t="s">
        <v>41</v>
      </c>
      <c r="J189" s="9">
        <v>61</v>
      </c>
      <c r="K189" s="9" t="s">
        <v>410</v>
      </c>
      <c r="L189" s="9"/>
      <c r="M189" s="5"/>
      <c r="N189" s="5"/>
      <c r="O189" s="5"/>
      <c r="P189" s="5"/>
      <c r="Q189" s="5"/>
      <c r="R189" s="5"/>
      <c r="S189" s="5"/>
      <c r="T189" s="5"/>
      <c r="U189" s="5"/>
      <c r="V189" s="5"/>
      <c r="W189" s="5"/>
      <c r="X189" s="5"/>
      <c r="Y189" s="5"/>
      <c r="Z189" s="5"/>
      <c r="AA189" s="5"/>
      <c r="AB189" s="5"/>
    </row>
    <row r="190" spans="1:28" ht="33.75" x14ac:dyDescent="0.2">
      <c r="A190" s="9" t="str">
        <f t="shared" si="10"/>
        <v>SKILL-188</v>
      </c>
      <c r="B190" s="9" t="str">
        <f t="shared" si="0"/>
        <v>FÍSICA NUCLEAR - M|MD</v>
      </c>
      <c r="C190" s="9" t="s">
        <v>411</v>
      </c>
      <c r="D190" s="9" t="s">
        <v>339</v>
      </c>
      <c r="E190" s="9" t="s">
        <v>38</v>
      </c>
      <c r="F190" s="9" t="s">
        <v>70</v>
      </c>
      <c r="G190" s="9" t="str">
        <f t="shared" si="4"/>
        <v>IQ</v>
      </c>
      <c r="H190" s="9"/>
      <c r="I190" s="12" t="s">
        <v>41</v>
      </c>
      <c r="J190" s="9">
        <v>61</v>
      </c>
      <c r="K190" s="9" t="s">
        <v>412</v>
      </c>
      <c r="L190" s="9" t="s">
        <v>413</v>
      </c>
      <c r="M190" s="5"/>
      <c r="N190" s="5"/>
      <c r="O190" s="5"/>
      <c r="P190" s="5"/>
      <c r="Q190" s="5"/>
      <c r="R190" s="5"/>
      <c r="S190" s="5"/>
      <c r="T190" s="5"/>
      <c r="U190" s="5"/>
      <c r="V190" s="5"/>
      <c r="W190" s="5"/>
      <c r="X190" s="5"/>
      <c r="Y190" s="5"/>
      <c r="Z190" s="5"/>
      <c r="AA190" s="5"/>
      <c r="AB190" s="5"/>
    </row>
    <row r="191" spans="1:28" ht="56.25" x14ac:dyDescent="0.2">
      <c r="A191" s="9" t="str">
        <f t="shared" si="10"/>
        <v>SKILL-189</v>
      </c>
      <c r="B191" s="9" t="str">
        <f t="shared" si="0"/>
        <v>OCULTISMO - M|M</v>
      </c>
      <c r="C191" s="9" t="s">
        <v>414</v>
      </c>
      <c r="D191" s="9" t="s">
        <v>339</v>
      </c>
      <c r="E191" s="9" t="s">
        <v>38</v>
      </c>
      <c r="F191" s="9" t="s">
        <v>38</v>
      </c>
      <c r="G191" s="9" t="str">
        <f t="shared" si="4"/>
        <v>IQ</v>
      </c>
      <c r="H191" s="9" t="s">
        <v>40</v>
      </c>
      <c r="I191" s="12" t="s">
        <v>41</v>
      </c>
      <c r="J191" s="9">
        <v>61</v>
      </c>
      <c r="K191" s="9" t="s">
        <v>415</v>
      </c>
      <c r="L191" s="9"/>
      <c r="M191" s="5"/>
      <c r="N191" s="5"/>
      <c r="O191" s="5"/>
      <c r="P191" s="5"/>
      <c r="Q191" s="5"/>
      <c r="R191" s="5"/>
      <c r="S191" s="5"/>
      <c r="T191" s="5"/>
      <c r="U191" s="5"/>
      <c r="V191" s="5"/>
      <c r="W191" s="5"/>
      <c r="X191" s="5"/>
      <c r="Y191" s="5"/>
      <c r="Z191" s="5"/>
      <c r="AA191" s="5"/>
      <c r="AB191" s="5"/>
    </row>
    <row r="192" spans="1:28" ht="45" x14ac:dyDescent="0.2">
      <c r="A192" s="9" t="str">
        <f t="shared" si="10"/>
        <v>SKILL-190</v>
      </c>
      <c r="B192" s="9" t="str">
        <f t="shared" si="0"/>
        <v>FÍSICA - M|D</v>
      </c>
      <c r="C192" s="9" t="s">
        <v>416</v>
      </c>
      <c r="D192" s="9" t="s">
        <v>339</v>
      </c>
      <c r="E192" s="9" t="s">
        <v>38</v>
      </c>
      <c r="F192" s="9" t="s">
        <v>39</v>
      </c>
      <c r="G192" s="9" t="str">
        <f t="shared" si="4"/>
        <v>IQ</v>
      </c>
      <c r="H192" s="9" t="s">
        <v>40</v>
      </c>
      <c r="I192" s="12" t="s">
        <v>41</v>
      </c>
      <c r="J192" s="9">
        <v>61</v>
      </c>
      <c r="K192" s="9" t="s">
        <v>417</v>
      </c>
      <c r="L192" s="9"/>
      <c r="M192" s="5"/>
      <c r="N192" s="5"/>
      <c r="O192" s="5"/>
      <c r="P192" s="5"/>
      <c r="Q192" s="5"/>
      <c r="R192" s="5"/>
      <c r="S192" s="5"/>
      <c r="T192" s="5"/>
      <c r="U192" s="5"/>
      <c r="V192" s="5"/>
      <c r="W192" s="5"/>
      <c r="X192" s="5"/>
      <c r="Y192" s="5"/>
      <c r="Z192" s="5"/>
      <c r="AA192" s="5"/>
      <c r="AB192" s="5"/>
    </row>
    <row r="193" spans="1:28" ht="45" x14ac:dyDescent="0.2">
      <c r="A193" s="9" t="str">
        <f t="shared" si="10"/>
        <v>SKILL-191</v>
      </c>
      <c r="B193" s="9" t="str">
        <f t="shared" si="0"/>
        <v>FISIOLOGIA - M|MD</v>
      </c>
      <c r="C193" s="9" t="s">
        <v>418</v>
      </c>
      <c r="D193" s="9" t="s">
        <v>339</v>
      </c>
      <c r="E193" s="9" t="s">
        <v>38</v>
      </c>
      <c r="F193" s="9" t="s">
        <v>70</v>
      </c>
      <c r="G193" s="9" t="str">
        <f t="shared" si="4"/>
        <v>IQ</v>
      </c>
      <c r="H193" s="9" t="s">
        <v>419</v>
      </c>
      <c r="I193" s="12" t="s">
        <v>41</v>
      </c>
      <c r="J193" s="9">
        <v>61</v>
      </c>
      <c r="K193" s="9" t="s">
        <v>420</v>
      </c>
      <c r="L193" s="9"/>
      <c r="M193" s="5"/>
      <c r="N193" s="5"/>
      <c r="O193" s="5"/>
      <c r="P193" s="5"/>
      <c r="Q193" s="5"/>
      <c r="R193" s="5"/>
      <c r="S193" s="5"/>
      <c r="T193" s="5"/>
      <c r="U193" s="5"/>
      <c r="V193" s="5"/>
      <c r="W193" s="5"/>
      <c r="X193" s="5"/>
      <c r="Y193" s="5"/>
      <c r="Z193" s="5"/>
      <c r="AA193" s="5"/>
      <c r="AB193" s="5"/>
    </row>
    <row r="194" spans="1:28" ht="101.25" x14ac:dyDescent="0.2">
      <c r="A194" s="9" t="str">
        <f t="shared" si="10"/>
        <v>SKILL-192</v>
      </c>
      <c r="B194" s="9" t="str">
        <f t="shared" si="0"/>
        <v>PROSPECÇÃO - M|M</v>
      </c>
      <c r="C194" s="9" t="s">
        <v>421</v>
      </c>
      <c r="D194" s="9" t="s">
        <v>339</v>
      </c>
      <c r="E194" s="9" t="s">
        <v>38</v>
      </c>
      <c r="F194" s="9" t="s">
        <v>38</v>
      </c>
      <c r="G194" s="9" t="str">
        <f t="shared" si="4"/>
        <v>IQ</v>
      </c>
      <c r="H194" s="9" t="s">
        <v>422</v>
      </c>
      <c r="I194" s="12" t="s">
        <v>41</v>
      </c>
      <c r="J194" s="9">
        <v>62</v>
      </c>
      <c r="K194" s="9" t="s">
        <v>423</v>
      </c>
      <c r="L194" s="9"/>
      <c r="M194" s="5"/>
      <c r="N194" s="5"/>
      <c r="O194" s="5"/>
      <c r="P194" s="5"/>
      <c r="Q194" s="5"/>
      <c r="R194" s="5"/>
      <c r="S194" s="5"/>
      <c r="T194" s="5"/>
      <c r="U194" s="5"/>
      <c r="V194" s="5"/>
      <c r="W194" s="5"/>
      <c r="X194" s="5"/>
      <c r="Y194" s="5"/>
      <c r="Z194" s="5"/>
      <c r="AA194" s="5"/>
      <c r="AB194" s="5"/>
    </row>
    <row r="195" spans="1:28" ht="90" x14ac:dyDescent="0.2">
      <c r="A195" s="9" t="str">
        <f t="shared" si="10"/>
        <v>SKILL-193</v>
      </c>
      <c r="B195" s="9" t="str">
        <f t="shared" si="0"/>
        <v>PSICOLOGIA - M|D</v>
      </c>
      <c r="C195" s="9" t="s">
        <v>424</v>
      </c>
      <c r="D195" s="9" t="s">
        <v>339</v>
      </c>
      <c r="E195" s="9" t="s">
        <v>38</v>
      </c>
      <c r="F195" s="9" t="s">
        <v>39</v>
      </c>
      <c r="G195" s="9" t="str">
        <f t="shared" si="4"/>
        <v>IQ</v>
      </c>
      <c r="H195" s="9" t="s">
        <v>40</v>
      </c>
      <c r="I195" s="12" t="s">
        <v>41</v>
      </c>
      <c r="J195" s="9">
        <v>62</v>
      </c>
      <c r="K195" s="9" t="s">
        <v>425</v>
      </c>
      <c r="L195" s="9"/>
      <c r="M195" s="5"/>
      <c r="N195" s="5"/>
      <c r="O195" s="5"/>
      <c r="P195" s="5"/>
      <c r="Q195" s="5"/>
      <c r="R195" s="5"/>
      <c r="S195" s="5"/>
      <c r="T195" s="5"/>
      <c r="U195" s="5"/>
      <c r="V195" s="5"/>
      <c r="W195" s="5"/>
      <c r="X195" s="5"/>
      <c r="Y195" s="5"/>
      <c r="Z195" s="5"/>
      <c r="AA195" s="5"/>
      <c r="AB195" s="5"/>
    </row>
    <row r="196" spans="1:28" ht="67.5" x14ac:dyDescent="0.2">
      <c r="A196" s="9" t="str">
        <f t="shared" ref="A196:A256" si="13">LEFT(A195,FIND("-",A195)) &amp; TEXT(VALUE(MID(A195,FIND("-",A195)+1,99)) + 1,"000")</f>
        <v>SKILL-194</v>
      </c>
      <c r="B196" s="9" t="str">
        <f t="shared" si="0"/>
        <v>PESQUISA - M|M</v>
      </c>
      <c r="C196" s="9" t="s">
        <v>426</v>
      </c>
      <c r="D196" s="9" t="s">
        <v>339</v>
      </c>
      <c r="E196" s="9" t="s">
        <v>38</v>
      </c>
      <c r="F196" s="9" t="s">
        <v>38</v>
      </c>
      <c r="G196" s="9" t="str">
        <f t="shared" si="4"/>
        <v>IQ</v>
      </c>
      <c r="H196" s="9" t="s">
        <v>427</v>
      </c>
      <c r="I196" s="12" t="s">
        <v>41</v>
      </c>
      <c r="J196" s="9">
        <v>62</v>
      </c>
      <c r="K196" s="9" t="s">
        <v>428</v>
      </c>
      <c r="L196" s="9"/>
      <c r="M196" s="5"/>
      <c r="N196" s="5"/>
      <c r="O196" s="5"/>
      <c r="P196" s="5"/>
      <c r="Q196" s="5"/>
      <c r="R196" s="5"/>
      <c r="S196" s="5"/>
      <c r="T196" s="5"/>
      <c r="U196" s="5"/>
      <c r="V196" s="5"/>
      <c r="W196" s="5"/>
      <c r="X196" s="5"/>
      <c r="Y196" s="5"/>
      <c r="Z196" s="5"/>
      <c r="AA196" s="5"/>
      <c r="AB196" s="5"/>
    </row>
    <row r="197" spans="1:28" ht="56.25" x14ac:dyDescent="0.2">
      <c r="A197" s="9" t="str">
        <f t="shared" si="13"/>
        <v>SKILL-195</v>
      </c>
      <c r="B197" s="9" t="str">
        <f t="shared" si="0"/>
        <v>TEOLOGIA - M|D</v>
      </c>
      <c r="C197" s="9" t="s">
        <v>429</v>
      </c>
      <c r="D197" s="9" t="s">
        <v>339</v>
      </c>
      <c r="E197" s="9" t="s">
        <v>38</v>
      </c>
      <c r="F197" s="9" t="s">
        <v>39</v>
      </c>
      <c r="G197" s="9" t="str">
        <f t="shared" si="4"/>
        <v>IQ</v>
      </c>
      <c r="H197" s="9" t="s">
        <v>430</v>
      </c>
      <c r="I197" s="12" t="s">
        <v>41</v>
      </c>
      <c r="J197" s="9">
        <v>62</v>
      </c>
      <c r="K197" s="9" t="s">
        <v>431</v>
      </c>
      <c r="L197" s="9"/>
      <c r="M197" s="5"/>
      <c r="N197" s="5"/>
      <c r="O197" s="5"/>
      <c r="P197" s="5"/>
      <c r="Q197" s="5"/>
      <c r="R197" s="5"/>
      <c r="S197" s="5"/>
      <c r="T197" s="5"/>
      <c r="U197" s="5"/>
      <c r="V197" s="5"/>
      <c r="W197" s="5"/>
      <c r="X197" s="5"/>
      <c r="Y197" s="5"/>
      <c r="Z197" s="5"/>
      <c r="AA197" s="5"/>
      <c r="AB197" s="5"/>
    </row>
    <row r="198" spans="1:28" ht="45" x14ac:dyDescent="0.2">
      <c r="A198" s="9" t="str">
        <f t="shared" si="13"/>
        <v>SKILL-196</v>
      </c>
      <c r="B198" s="9" t="str">
        <f t="shared" si="0"/>
        <v>ZOOLOGIA - M|D</v>
      </c>
      <c r="C198" s="9" t="s">
        <v>432</v>
      </c>
      <c r="D198" s="9" t="s">
        <v>339</v>
      </c>
      <c r="E198" s="9" t="s">
        <v>38</v>
      </c>
      <c r="F198" s="9" t="s">
        <v>39</v>
      </c>
      <c r="G198" s="9" t="str">
        <f t="shared" si="4"/>
        <v>IQ</v>
      </c>
      <c r="H198" s="9" t="s">
        <v>433</v>
      </c>
      <c r="I198" s="12" t="s">
        <v>41</v>
      </c>
      <c r="J198" s="9">
        <v>62</v>
      </c>
      <c r="K198" s="9" t="s">
        <v>434</v>
      </c>
      <c r="L198" s="9"/>
      <c r="M198" s="5"/>
      <c r="N198" s="5"/>
      <c r="O198" s="5"/>
      <c r="P198" s="5"/>
      <c r="Q198" s="5"/>
      <c r="R198" s="5"/>
      <c r="S198" s="5"/>
      <c r="T198" s="5"/>
      <c r="U198" s="5"/>
      <c r="V198" s="5"/>
      <c r="W198" s="5"/>
      <c r="X198" s="5"/>
      <c r="Y198" s="5"/>
      <c r="Z198" s="5"/>
      <c r="AA198" s="5"/>
      <c r="AB198" s="5"/>
    </row>
    <row r="199" spans="1:28" ht="123.75" x14ac:dyDescent="0.2">
      <c r="A199" s="9" t="str">
        <f t="shared" si="13"/>
        <v>SKILL-197</v>
      </c>
      <c r="B199" s="9" t="str">
        <f t="shared" si="0"/>
        <v>DISSIMULAÇÃO - M|M</v>
      </c>
      <c r="C199" s="9" t="s">
        <v>435</v>
      </c>
      <c r="D199" s="9" t="s">
        <v>436</v>
      </c>
      <c r="E199" s="9" t="s">
        <v>38</v>
      </c>
      <c r="F199" s="9" t="s">
        <v>38</v>
      </c>
      <c r="G199" s="9" t="str">
        <f t="shared" si="4"/>
        <v>IQ</v>
      </c>
      <c r="H199" s="9" t="s">
        <v>437</v>
      </c>
      <c r="I199" s="12" t="s">
        <v>41</v>
      </c>
      <c r="J199" s="9">
        <v>62</v>
      </c>
      <c r="K199" s="9" t="s">
        <v>438</v>
      </c>
      <c r="L199" s="9"/>
      <c r="M199" s="5"/>
      <c r="N199" s="5"/>
      <c r="O199" s="5"/>
      <c r="P199" s="5"/>
      <c r="Q199" s="5"/>
      <c r="R199" s="5"/>
      <c r="S199" s="5"/>
      <c r="T199" s="5"/>
      <c r="U199" s="5"/>
      <c r="V199" s="5"/>
      <c r="W199" s="5"/>
      <c r="X199" s="5"/>
      <c r="Y199" s="5"/>
      <c r="Z199" s="5"/>
      <c r="AA199" s="5"/>
      <c r="AB199" s="5"/>
    </row>
    <row r="200" spans="1:28" ht="67.5" x14ac:dyDescent="0.2">
      <c r="A200" s="9" t="str">
        <f t="shared" si="13"/>
        <v>SKILL-198</v>
      </c>
      <c r="B200" s="9" t="str">
        <f t="shared" si="0"/>
        <v>ADMINISTRAÇÃO - M|M</v>
      </c>
      <c r="C200" s="9" t="s">
        <v>439</v>
      </c>
      <c r="D200" s="9" t="s">
        <v>436</v>
      </c>
      <c r="E200" s="9" t="s">
        <v>38</v>
      </c>
      <c r="F200" s="9" t="s">
        <v>38</v>
      </c>
      <c r="G200" s="9" t="str">
        <f t="shared" si="4"/>
        <v>IQ</v>
      </c>
      <c r="H200" s="9" t="s">
        <v>440</v>
      </c>
      <c r="I200" s="12" t="s">
        <v>41</v>
      </c>
      <c r="J200" s="9">
        <v>62</v>
      </c>
      <c r="K200" s="9" t="s">
        <v>441</v>
      </c>
      <c r="L200" s="9"/>
      <c r="M200" s="5"/>
      <c r="N200" s="5"/>
      <c r="O200" s="5"/>
      <c r="P200" s="5"/>
      <c r="Q200" s="5"/>
      <c r="R200" s="5"/>
      <c r="S200" s="5"/>
      <c r="T200" s="5"/>
      <c r="U200" s="5"/>
      <c r="V200" s="5"/>
      <c r="W200" s="5"/>
      <c r="X200" s="5"/>
      <c r="Y200" s="5"/>
      <c r="Z200" s="5"/>
      <c r="AA200" s="5"/>
      <c r="AB200" s="5"/>
    </row>
    <row r="201" spans="1:28" ht="270" x14ac:dyDescent="0.2">
      <c r="A201" s="9" t="str">
        <f t="shared" si="13"/>
        <v>SKILL-199</v>
      </c>
      <c r="B201" s="9" t="str">
        <f t="shared" si="0"/>
        <v>CONHECIMENTO DO TERRENO - M|F</v>
      </c>
      <c r="C201" s="9" t="s">
        <v>442</v>
      </c>
      <c r="D201" s="9" t="s">
        <v>436</v>
      </c>
      <c r="E201" s="9" t="s">
        <v>38</v>
      </c>
      <c r="F201" s="9" t="s">
        <v>50</v>
      </c>
      <c r="G201" s="9" t="str">
        <f t="shared" si="4"/>
        <v>IQ</v>
      </c>
      <c r="H201" s="9" t="s">
        <v>249</v>
      </c>
      <c r="I201" s="12" t="s">
        <v>41</v>
      </c>
      <c r="J201" s="9">
        <v>62</v>
      </c>
      <c r="K201" s="9" t="s">
        <v>443</v>
      </c>
      <c r="L201" s="9"/>
      <c r="M201" s="5"/>
      <c r="N201" s="5"/>
      <c r="O201" s="5"/>
      <c r="P201" s="5"/>
      <c r="Q201" s="5"/>
      <c r="R201" s="5"/>
      <c r="S201" s="5"/>
      <c r="T201" s="5"/>
      <c r="U201" s="5"/>
      <c r="V201" s="5"/>
      <c r="W201" s="5"/>
      <c r="X201" s="5"/>
      <c r="Y201" s="5"/>
      <c r="Z201" s="5"/>
      <c r="AA201" s="5"/>
      <c r="AB201" s="5"/>
    </row>
    <row r="202" spans="1:28" ht="90" x14ac:dyDescent="0.2">
      <c r="A202" s="9" t="str">
        <f t="shared" si="13"/>
        <v>SKILL-200</v>
      </c>
      <c r="B202" s="9" t="str">
        <f t="shared" si="0"/>
        <v>BOEMIA - F|M</v>
      </c>
      <c r="C202" s="9" t="s">
        <v>444</v>
      </c>
      <c r="D202" s="9" t="s">
        <v>436</v>
      </c>
      <c r="E202" s="9" t="s">
        <v>50</v>
      </c>
      <c r="F202" s="9" t="s">
        <v>38</v>
      </c>
      <c r="G202" s="9" t="s">
        <v>97</v>
      </c>
      <c r="H202" s="9" t="s">
        <v>445</v>
      </c>
      <c r="I202" s="12" t="s">
        <v>41</v>
      </c>
      <c r="J202" s="9">
        <v>63</v>
      </c>
      <c r="K202" s="9" t="s">
        <v>446</v>
      </c>
      <c r="L202" s="9"/>
      <c r="M202" s="5"/>
      <c r="N202" s="5"/>
      <c r="O202" s="5"/>
      <c r="P202" s="5"/>
      <c r="Q202" s="5"/>
      <c r="R202" s="5"/>
      <c r="S202" s="5"/>
      <c r="T202" s="5"/>
      <c r="U202" s="5"/>
      <c r="V202" s="5"/>
      <c r="W202" s="5"/>
      <c r="X202" s="5"/>
      <c r="Y202" s="5"/>
      <c r="Z202" s="5"/>
      <c r="AA202" s="5"/>
      <c r="AB202" s="5"/>
    </row>
    <row r="203" spans="1:28" ht="135" x14ac:dyDescent="0.2">
      <c r="A203" s="9" t="str">
        <f t="shared" si="13"/>
        <v>SKILL-201</v>
      </c>
      <c r="B203" s="9" t="str">
        <f t="shared" si="0"/>
        <v>DIPLOMACIA - M|D</v>
      </c>
      <c r="C203" s="9" t="s">
        <v>447</v>
      </c>
      <c r="D203" s="9" t="s">
        <v>436</v>
      </c>
      <c r="E203" s="9" t="s">
        <v>38</v>
      </c>
      <c r="F203" s="9" t="s">
        <v>39</v>
      </c>
      <c r="G203" s="9" t="str">
        <f t="shared" ref="G203:G209" si="14">IF(E203="M", "IQ", "DX")</f>
        <v>IQ</v>
      </c>
      <c r="H203" s="9" t="s">
        <v>40</v>
      </c>
      <c r="I203" s="12" t="s">
        <v>41</v>
      </c>
      <c r="J203" s="9">
        <v>63</v>
      </c>
      <c r="K203" s="9" t="s">
        <v>448</v>
      </c>
      <c r="L203" s="9"/>
      <c r="M203" s="5"/>
      <c r="N203" s="5"/>
      <c r="O203" s="5"/>
      <c r="P203" s="5"/>
      <c r="Q203" s="5"/>
      <c r="R203" s="5"/>
      <c r="S203" s="5"/>
      <c r="T203" s="5"/>
      <c r="U203" s="5"/>
      <c r="V203" s="5"/>
      <c r="W203" s="5"/>
      <c r="X203" s="5"/>
      <c r="Y203" s="5"/>
      <c r="Z203" s="5"/>
      <c r="AA203" s="5"/>
      <c r="AB203" s="5"/>
    </row>
    <row r="204" spans="1:28" ht="157.5" x14ac:dyDescent="0.2">
      <c r="A204" s="9" t="str">
        <f t="shared" si="13"/>
        <v>SKILL-202</v>
      </c>
      <c r="B204" s="9" t="str">
        <f t="shared" si="0"/>
        <v>LÁBIA - M|M</v>
      </c>
      <c r="C204" s="9" t="s">
        <v>449</v>
      </c>
      <c r="D204" s="9" t="s">
        <v>436</v>
      </c>
      <c r="E204" s="9" t="s">
        <v>38</v>
      </c>
      <c r="F204" s="9" t="s">
        <v>38</v>
      </c>
      <c r="G204" s="9" t="str">
        <f t="shared" si="14"/>
        <v>IQ</v>
      </c>
      <c r="H204" s="9" t="s">
        <v>450</v>
      </c>
      <c r="I204" s="12" t="s">
        <v>41</v>
      </c>
      <c r="J204" s="9">
        <v>63</v>
      </c>
      <c r="K204" s="9" t="s">
        <v>451</v>
      </c>
      <c r="L204" s="9"/>
      <c r="M204" s="5"/>
      <c r="N204" s="5"/>
      <c r="O204" s="5"/>
      <c r="P204" s="5"/>
      <c r="Q204" s="5"/>
      <c r="R204" s="5"/>
      <c r="S204" s="5"/>
      <c r="T204" s="5"/>
      <c r="U204" s="5"/>
      <c r="V204" s="5"/>
      <c r="W204" s="5"/>
      <c r="X204" s="5"/>
      <c r="Y204" s="5"/>
      <c r="Z204" s="5"/>
      <c r="AA204" s="5"/>
      <c r="AB204" s="5"/>
    </row>
    <row r="205" spans="1:28" ht="146.25" x14ac:dyDescent="0.2">
      <c r="A205" s="9" t="str">
        <f t="shared" si="13"/>
        <v>SKILL-203</v>
      </c>
      <c r="B205" s="9" t="str">
        <f t="shared" si="0"/>
        <v>JOGO - M|M</v>
      </c>
      <c r="C205" s="9" t="s">
        <v>452</v>
      </c>
      <c r="D205" s="9" t="s">
        <v>436</v>
      </c>
      <c r="E205" s="9" t="s">
        <v>38</v>
      </c>
      <c r="F205" s="9" t="s">
        <v>38</v>
      </c>
      <c r="G205" s="9" t="str">
        <f t="shared" si="14"/>
        <v>IQ</v>
      </c>
      <c r="H205" s="9" t="s">
        <v>453</v>
      </c>
      <c r="I205" s="12" t="s">
        <v>41</v>
      </c>
      <c r="J205" s="9">
        <v>63</v>
      </c>
      <c r="K205" s="9" t="s">
        <v>454</v>
      </c>
      <c r="L205" s="9"/>
      <c r="M205" s="5"/>
      <c r="N205" s="5"/>
      <c r="O205" s="5"/>
      <c r="P205" s="5"/>
      <c r="Q205" s="5"/>
      <c r="R205" s="5"/>
      <c r="S205" s="5"/>
      <c r="T205" s="5"/>
      <c r="U205" s="5"/>
      <c r="V205" s="5"/>
      <c r="W205" s="5"/>
      <c r="X205" s="5"/>
      <c r="Y205" s="5"/>
      <c r="Z205" s="5"/>
      <c r="AA205" s="5"/>
      <c r="AB205" s="5"/>
    </row>
    <row r="206" spans="1:28" ht="146.25" x14ac:dyDescent="0.2">
      <c r="A206" s="9" t="str">
        <f t="shared" si="13"/>
        <v>SKILL-204</v>
      </c>
      <c r="B206" s="9" t="str">
        <f t="shared" si="0"/>
        <v>LIDERANÇA - M|M</v>
      </c>
      <c r="C206" s="9" t="s">
        <v>455</v>
      </c>
      <c r="D206" s="9" t="s">
        <v>436</v>
      </c>
      <c r="E206" s="9" t="s">
        <v>38</v>
      </c>
      <c r="F206" s="9" t="s">
        <v>38</v>
      </c>
      <c r="G206" s="9" t="str">
        <f t="shared" si="14"/>
        <v>IQ</v>
      </c>
      <c r="H206" s="9" t="s">
        <v>456</v>
      </c>
      <c r="I206" s="12" t="s">
        <v>41</v>
      </c>
      <c r="J206" s="9">
        <v>63</v>
      </c>
      <c r="K206" s="9" t="s">
        <v>457</v>
      </c>
      <c r="L206" s="9"/>
      <c r="M206" s="5"/>
      <c r="N206" s="5"/>
      <c r="O206" s="5"/>
      <c r="P206" s="5"/>
      <c r="Q206" s="5"/>
      <c r="R206" s="5"/>
      <c r="S206" s="5"/>
      <c r="T206" s="5"/>
      <c r="U206" s="5"/>
      <c r="V206" s="5"/>
      <c r="W206" s="5"/>
      <c r="X206" s="5"/>
      <c r="Y206" s="5"/>
      <c r="Z206" s="5"/>
      <c r="AA206" s="5"/>
      <c r="AB206" s="5"/>
    </row>
    <row r="207" spans="1:28" ht="202.5" x14ac:dyDescent="0.2">
      <c r="A207" s="9" t="str">
        <f t="shared" si="13"/>
        <v>SKILL-205</v>
      </c>
      <c r="B207" s="9" t="str">
        <f t="shared" si="0"/>
        <v>COMÉRCIO - M|M</v>
      </c>
      <c r="C207" s="9" t="s">
        <v>458</v>
      </c>
      <c r="D207" s="9" t="s">
        <v>436</v>
      </c>
      <c r="E207" s="9" t="s">
        <v>38</v>
      </c>
      <c r="F207" s="9" t="s">
        <v>38</v>
      </c>
      <c r="G207" s="9" t="str">
        <f t="shared" si="14"/>
        <v>IQ</v>
      </c>
      <c r="H207" s="9" t="s">
        <v>44</v>
      </c>
      <c r="I207" s="12" t="s">
        <v>41</v>
      </c>
      <c r="J207" s="9">
        <v>64</v>
      </c>
      <c r="K207" s="9" t="s">
        <v>459</v>
      </c>
      <c r="L207" s="9"/>
      <c r="M207" s="5"/>
      <c r="N207" s="5"/>
      <c r="O207" s="5"/>
      <c r="P207" s="5"/>
      <c r="Q207" s="5"/>
      <c r="R207" s="5"/>
      <c r="S207" s="5"/>
      <c r="T207" s="5"/>
      <c r="U207" s="5"/>
      <c r="V207" s="5"/>
      <c r="W207" s="5"/>
      <c r="X207" s="5"/>
      <c r="Y207" s="5"/>
      <c r="Z207" s="5"/>
      <c r="AA207" s="5"/>
      <c r="AB207" s="5"/>
    </row>
    <row r="208" spans="1:28" ht="67.5" x14ac:dyDescent="0.2">
      <c r="A208" s="9" t="str">
        <f t="shared" si="13"/>
        <v>SKILL-206</v>
      </c>
      <c r="B208" s="9" t="str">
        <f t="shared" si="0"/>
        <v>ATUAÇÃO - M|M</v>
      </c>
      <c r="C208" s="9" t="s">
        <v>460</v>
      </c>
      <c r="D208" s="9" t="s">
        <v>436</v>
      </c>
      <c r="E208" s="9" t="s">
        <v>38</v>
      </c>
      <c r="F208" s="9" t="s">
        <v>38</v>
      </c>
      <c r="G208" s="9" t="str">
        <f t="shared" si="14"/>
        <v>IQ</v>
      </c>
      <c r="H208" s="9" t="s">
        <v>461</v>
      </c>
      <c r="I208" s="12" t="s">
        <v>41</v>
      </c>
      <c r="J208" s="9">
        <v>64</v>
      </c>
      <c r="K208" s="9" t="s">
        <v>462</v>
      </c>
      <c r="L208" s="9"/>
      <c r="M208" s="5"/>
      <c r="N208" s="5"/>
      <c r="O208" s="5"/>
      <c r="P208" s="5"/>
      <c r="Q208" s="5"/>
      <c r="R208" s="5"/>
      <c r="S208" s="5"/>
      <c r="T208" s="5"/>
      <c r="U208" s="5"/>
      <c r="V208" s="5"/>
      <c r="W208" s="5"/>
      <c r="X208" s="5"/>
      <c r="Y208" s="5"/>
      <c r="Z208" s="5"/>
      <c r="AA208" s="5"/>
      <c r="AB208" s="5"/>
    </row>
    <row r="209" spans="1:28" ht="191.25" x14ac:dyDescent="0.2">
      <c r="A209" s="9" t="str">
        <f t="shared" si="13"/>
        <v>SKILL-207</v>
      </c>
      <c r="B209" s="9" t="str">
        <f t="shared" si="0"/>
        <v>TRATO SOCIAL - M|F</v>
      </c>
      <c r="C209" s="9" t="s">
        <v>463</v>
      </c>
      <c r="D209" s="9" t="s">
        <v>436</v>
      </c>
      <c r="E209" s="9" t="s">
        <v>38</v>
      </c>
      <c r="F209" s="9" t="s">
        <v>50</v>
      </c>
      <c r="G209" s="9" t="str">
        <f t="shared" si="14"/>
        <v>IQ</v>
      </c>
      <c r="H209" s="9" t="s">
        <v>249</v>
      </c>
      <c r="I209" s="12" t="s">
        <v>41</v>
      </c>
      <c r="J209" s="9">
        <v>64</v>
      </c>
      <c r="K209" s="9" t="s">
        <v>464</v>
      </c>
      <c r="L209" s="9"/>
      <c r="M209" s="5"/>
      <c r="N209" s="5"/>
      <c r="O209" s="5"/>
      <c r="P209" s="5"/>
      <c r="Q209" s="5"/>
      <c r="R209" s="5"/>
      <c r="S209" s="5"/>
      <c r="T209" s="5"/>
      <c r="U209" s="5"/>
      <c r="V209" s="5"/>
      <c r="W209" s="5"/>
      <c r="X209" s="5"/>
      <c r="Y209" s="5"/>
      <c r="Z209" s="5"/>
      <c r="AA209" s="5"/>
      <c r="AB209" s="5"/>
    </row>
    <row r="210" spans="1:28" ht="135" x14ac:dyDescent="0.2">
      <c r="A210" s="9" t="str">
        <f t="shared" si="13"/>
        <v>SKILL-208</v>
      </c>
      <c r="B210" s="9" t="str">
        <f t="shared" si="0"/>
        <v>SEX-APPEAL - M|M</v>
      </c>
      <c r="C210" s="9" t="s">
        <v>465</v>
      </c>
      <c r="D210" s="9" t="s">
        <v>436</v>
      </c>
      <c r="E210" s="9" t="s">
        <v>38</v>
      </c>
      <c r="F210" s="9" t="s">
        <v>38</v>
      </c>
      <c r="G210" s="9" t="s">
        <v>97</v>
      </c>
      <c r="H210" s="9" t="s">
        <v>466</v>
      </c>
      <c r="I210" s="12" t="s">
        <v>41</v>
      </c>
      <c r="J210" s="9">
        <v>64</v>
      </c>
      <c r="K210" s="9" t="s">
        <v>467</v>
      </c>
      <c r="L210" s="9"/>
      <c r="M210" s="5"/>
      <c r="N210" s="5"/>
      <c r="O210" s="5"/>
      <c r="P210" s="5"/>
      <c r="Q210" s="5"/>
      <c r="R210" s="5"/>
      <c r="S210" s="5"/>
      <c r="T210" s="5"/>
      <c r="U210" s="5"/>
      <c r="V210" s="5"/>
      <c r="W210" s="5"/>
      <c r="X210" s="5"/>
      <c r="Y210" s="5"/>
      <c r="Z210" s="5"/>
      <c r="AA210" s="5"/>
      <c r="AB210" s="5"/>
    </row>
    <row r="211" spans="1:28" ht="146.25" x14ac:dyDescent="0.2">
      <c r="A211" s="9" t="str">
        <f t="shared" si="13"/>
        <v>SKILL-209</v>
      </c>
      <c r="B211" s="9" t="str">
        <f t="shared" si="0"/>
        <v>ESTRATÉGIA | TERRESTRE - M|D</v>
      </c>
      <c r="C211" s="9" t="s">
        <v>468</v>
      </c>
      <c r="D211" s="9" t="s">
        <v>436</v>
      </c>
      <c r="E211" s="9" t="s">
        <v>38</v>
      </c>
      <c r="F211" s="9" t="s">
        <v>39</v>
      </c>
      <c r="G211" s="9" t="str">
        <f t="shared" ref="G211:G243" si="15">IF(E211="M", "IQ", "DX")</f>
        <v>IQ</v>
      </c>
      <c r="H211" s="9" t="s">
        <v>469</v>
      </c>
      <c r="I211" s="12" t="s">
        <v>41</v>
      </c>
      <c r="J211" s="9">
        <v>64</v>
      </c>
      <c r="K211" s="9" t="s">
        <v>470</v>
      </c>
      <c r="L211" s="9"/>
      <c r="M211" s="5"/>
      <c r="N211" s="5"/>
      <c r="O211" s="5"/>
      <c r="P211" s="5"/>
      <c r="Q211" s="5"/>
      <c r="R211" s="5"/>
      <c r="S211" s="5"/>
      <c r="T211" s="5"/>
      <c r="U211" s="5"/>
      <c r="V211" s="5"/>
      <c r="W211" s="5"/>
      <c r="X211" s="5"/>
      <c r="Y211" s="5"/>
      <c r="Z211" s="5"/>
      <c r="AA211" s="5"/>
      <c r="AB211" s="5"/>
    </row>
    <row r="212" spans="1:28" ht="146.25" x14ac:dyDescent="0.2">
      <c r="A212" s="9" t="str">
        <f t="shared" si="13"/>
        <v>SKILL-210</v>
      </c>
      <c r="B212" s="9" t="str">
        <f t="shared" si="0"/>
        <v>ESTRATÉGIA | NAVAL - M|D</v>
      </c>
      <c r="C212" s="9" t="s">
        <v>471</v>
      </c>
      <c r="D212" s="9" t="s">
        <v>436</v>
      </c>
      <c r="E212" s="9" t="s">
        <v>38</v>
      </c>
      <c r="F212" s="9" t="s">
        <v>39</v>
      </c>
      <c r="G212" s="9" t="str">
        <f t="shared" si="15"/>
        <v>IQ</v>
      </c>
      <c r="H212" s="9" t="s">
        <v>469</v>
      </c>
      <c r="I212" s="12" t="s">
        <v>41</v>
      </c>
      <c r="J212" s="9">
        <v>64</v>
      </c>
      <c r="K212" s="9" t="s">
        <v>470</v>
      </c>
      <c r="L212" s="9"/>
      <c r="M212" s="5"/>
      <c r="N212" s="5"/>
      <c r="O212" s="5"/>
      <c r="P212" s="5"/>
      <c r="Q212" s="5"/>
      <c r="R212" s="5"/>
      <c r="S212" s="5"/>
      <c r="T212" s="5"/>
      <c r="U212" s="5"/>
      <c r="V212" s="5"/>
      <c r="W212" s="5"/>
      <c r="X212" s="5"/>
      <c r="Y212" s="5"/>
      <c r="Z212" s="5"/>
      <c r="AA212" s="5"/>
      <c r="AB212" s="5"/>
    </row>
    <row r="213" spans="1:28" ht="146.25" x14ac:dyDescent="0.2">
      <c r="A213" s="9" t="str">
        <f t="shared" si="13"/>
        <v>SKILL-211</v>
      </c>
      <c r="B213" s="9" t="str">
        <f t="shared" si="0"/>
        <v>ESTRATÉGIA | AÉREA - M|D</v>
      </c>
      <c r="C213" s="9" t="s">
        <v>472</v>
      </c>
      <c r="D213" s="9" t="s">
        <v>436</v>
      </c>
      <c r="E213" s="9" t="s">
        <v>38</v>
      </c>
      <c r="F213" s="9" t="s">
        <v>39</v>
      </c>
      <c r="G213" s="9" t="str">
        <f t="shared" si="15"/>
        <v>IQ</v>
      </c>
      <c r="H213" s="9" t="s">
        <v>469</v>
      </c>
      <c r="I213" s="12" t="s">
        <v>41</v>
      </c>
      <c r="J213" s="9">
        <v>64</v>
      </c>
      <c r="K213" s="9" t="s">
        <v>470</v>
      </c>
      <c r="L213" s="9"/>
      <c r="M213" s="5"/>
      <c r="N213" s="5"/>
      <c r="O213" s="5"/>
      <c r="P213" s="5"/>
      <c r="Q213" s="5"/>
      <c r="R213" s="5"/>
      <c r="S213" s="5"/>
      <c r="T213" s="5"/>
      <c r="U213" s="5"/>
      <c r="V213" s="5"/>
      <c r="W213" s="5"/>
      <c r="X213" s="5"/>
      <c r="Y213" s="5"/>
      <c r="Z213" s="5"/>
      <c r="AA213" s="5"/>
      <c r="AB213" s="5"/>
    </row>
    <row r="214" spans="1:28" ht="78.75" x14ac:dyDescent="0.2">
      <c r="A214" s="9" t="str">
        <f t="shared" si="13"/>
        <v>SKILL-212</v>
      </c>
      <c r="B214" s="9" t="str">
        <f t="shared" si="0"/>
        <v>TÁTICA - M|D</v>
      </c>
      <c r="C214" s="9" t="s">
        <v>473</v>
      </c>
      <c r="D214" s="9" t="s">
        <v>436</v>
      </c>
      <c r="E214" s="9" t="s">
        <v>38</v>
      </c>
      <c r="F214" s="9" t="s">
        <v>39</v>
      </c>
      <c r="G214" s="9" t="str">
        <f t="shared" si="15"/>
        <v>IQ</v>
      </c>
      <c r="H214" s="9" t="s">
        <v>474</v>
      </c>
      <c r="I214" s="12" t="s">
        <v>41</v>
      </c>
      <c r="J214" s="9">
        <v>64</v>
      </c>
      <c r="K214" s="9" t="s">
        <v>475</v>
      </c>
      <c r="L214" s="9"/>
      <c r="M214" s="5"/>
      <c r="N214" s="5"/>
      <c r="O214" s="5"/>
      <c r="P214" s="5"/>
      <c r="Q214" s="5"/>
      <c r="R214" s="5"/>
      <c r="S214" s="5"/>
      <c r="T214" s="5"/>
      <c r="U214" s="5"/>
      <c r="V214" s="5"/>
      <c r="W214" s="5"/>
      <c r="X214" s="5"/>
      <c r="Y214" s="5"/>
      <c r="Z214" s="5"/>
      <c r="AA214" s="5"/>
      <c r="AB214" s="5"/>
    </row>
    <row r="215" spans="1:28" ht="90" x14ac:dyDescent="0.2">
      <c r="A215" s="9" t="str">
        <f t="shared" si="13"/>
        <v>SKILL-213</v>
      </c>
      <c r="B215" s="9" t="str">
        <f t="shared" si="0"/>
        <v>PEDAGOGIA - M|M</v>
      </c>
      <c r="C215" s="9" t="s">
        <v>476</v>
      </c>
      <c r="D215" s="9" t="s">
        <v>436</v>
      </c>
      <c r="E215" s="9" t="s">
        <v>38</v>
      </c>
      <c r="F215" s="9" t="s">
        <v>38</v>
      </c>
      <c r="G215" s="9" t="str">
        <f t="shared" si="15"/>
        <v>IQ</v>
      </c>
      <c r="H215" s="9" t="s">
        <v>44</v>
      </c>
      <c r="I215" s="12" t="s">
        <v>41</v>
      </c>
      <c r="J215" s="9">
        <v>64</v>
      </c>
      <c r="K215" s="9" t="s">
        <v>477</v>
      </c>
      <c r="L215" s="9"/>
      <c r="M215" s="5"/>
      <c r="N215" s="5"/>
      <c r="O215" s="5"/>
      <c r="P215" s="5"/>
      <c r="Q215" s="5"/>
      <c r="R215" s="5"/>
      <c r="S215" s="5"/>
      <c r="T215" s="5"/>
      <c r="U215" s="5"/>
      <c r="V215" s="5"/>
      <c r="W215" s="5"/>
      <c r="X215" s="5"/>
      <c r="Y215" s="5"/>
      <c r="Z215" s="5"/>
      <c r="AA215" s="5"/>
      <c r="AB215" s="5"/>
    </row>
    <row r="216" spans="1:28" ht="123.75" x14ac:dyDescent="0.2">
      <c r="A216" s="9" t="str">
        <f t="shared" si="13"/>
        <v>SKILL-214</v>
      </c>
      <c r="B216" s="9" t="str">
        <f t="shared" si="0"/>
        <v>CAMUFLAGEM - M|F</v>
      </c>
      <c r="C216" s="9" t="s">
        <v>478</v>
      </c>
      <c r="D216" s="9" t="s">
        <v>479</v>
      </c>
      <c r="E216" s="9" t="s">
        <v>38</v>
      </c>
      <c r="F216" s="9" t="s">
        <v>50</v>
      </c>
      <c r="G216" s="9" t="str">
        <f t="shared" si="15"/>
        <v>IQ</v>
      </c>
      <c r="H216" s="9" t="s">
        <v>480</v>
      </c>
      <c r="I216" s="12" t="s">
        <v>41</v>
      </c>
      <c r="J216" s="9">
        <v>65</v>
      </c>
      <c r="K216" s="9" t="s">
        <v>481</v>
      </c>
      <c r="L216" s="9"/>
      <c r="M216" s="5"/>
      <c r="N216" s="5"/>
      <c r="O216" s="5"/>
      <c r="P216" s="5"/>
      <c r="Q216" s="5"/>
      <c r="R216" s="5"/>
      <c r="S216" s="5"/>
      <c r="T216" s="5"/>
      <c r="U216" s="5"/>
      <c r="V216" s="5"/>
      <c r="W216" s="5"/>
      <c r="X216" s="5"/>
      <c r="Y216" s="5"/>
      <c r="Z216" s="5"/>
      <c r="AA216" s="5"/>
      <c r="AB216" s="5"/>
    </row>
    <row r="217" spans="1:28" ht="146.25" x14ac:dyDescent="0.2">
      <c r="A217" s="9" t="str">
        <f t="shared" si="13"/>
        <v>SKILL-215</v>
      </c>
      <c r="B217" s="9" t="str">
        <f t="shared" si="0"/>
        <v>DEMOLIÇÃO - M|M</v>
      </c>
      <c r="C217" s="9" t="s">
        <v>482</v>
      </c>
      <c r="D217" s="9" t="s">
        <v>479</v>
      </c>
      <c r="E217" s="9" t="s">
        <v>38</v>
      </c>
      <c r="F217" s="9" t="s">
        <v>38</v>
      </c>
      <c r="G217" s="9" t="str">
        <f t="shared" si="15"/>
        <v>IQ</v>
      </c>
      <c r="H217" s="9" t="s">
        <v>483</v>
      </c>
      <c r="I217" s="12" t="s">
        <v>41</v>
      </c>
      <c r="J217" s="9">
        <v>65</v>
      </c>
      <c r="K217" s="9" t="s">
        <v>484</v>
      </c>
      <c r="L217" s="9"/>
      <c r="M217" s="5"/>
      <c r="N217" s="5"/>
      <c r="O217" s="5"/>
      <c r="P217" s="5"/>
      <c r="Q217" s="5"/>
      <c r="R217" s="5"/>
      <c r="S217" s="5"/>
      <c r="T217" s="5"/>
      <c r="U217" s="5"/>
      <c r="V217" s="5"/>
      <c r="W217" s="5"/>
      <c r="X217" s="5"/>
      <c r="Y217" s="5"/>
      <c r="Z217" s="5"/>
      <c r="AA217" s="5"/>
      <c r="AB217" s="5"/>
    </row>
    <row r="218" spans="1:28" ht="101.25" x14ac:dyDescent="0.2">
      <c r="A218" s="9" t="str">
        <f t="shared" si="13"/>
        <v>SKILL-216</v>
      </c>
      <c r="B218" s="9" t="str">
        <f t="shared" si="0"/>
        <v>DETECÇÃO DE MENTIRAS - M|D</v>
      </c>
      <c r="C218" s="9" t="s">
        <v>485</v>
      </c>
      <c r="D218" s="9" t="s">
        <v>479</v>
      </c>
      <c r="E218" s="9" t="s">
        <v>38</v>
      </c>
      <c r="F218" s="9" t="s">
        <v>39</v>
      </c>
      <c r="G218" s="9" t="str">
        <f t="shared" si="15"/>
        <v>IQ</v>
      </c>
      <c r="H218" s="9" t="s">
        <v>486</v>
      </c>
      <c r="I218" s="12" t="s">
        <v>41</v>
      </c>
      <c r="J218" s="9">
        <v>65</v>
      </c>
      <c r="K218" s="9" t="s">
        <v>487</v>
      </c>
      <c r="L218" s="9"/>
      <c r="M218" s="5"/>
      <c r="N218" s="5"/>
      <c r="O218" s="5"/>
      <c r="P218" s="5"/>
      <c r="Q218" s="5"/>
      <c r="R218" s="5"/>
      <c r="S218" s="5"/>
      <c r="T218" s="5"/>
      <c r="U218" s="5"/>
      <c r="V218" s="5"/>
      <c r="W218" s="5"/>
      <c r="X218" s="5"/>
      <c r="Y218" s="5"/>
      <c r="Z218" s="5"/>
      <c r="AA218" s="5"/>
      <c r="AB218" s="5"/>
    </row>
    <row r="219" spans="1:28" ht="168.75" x14ac:dyDescent="0.2">
      <c r="A219" s="9" t="str">
        <f t="shared" si="13"/>
        <v>SKILL-217</v>
      </c>
      <c r="B219" s="9" t="str">
        <f t="shared" si="0"/>
        <v>DISFARCE - M|M</v>
      </c>
      <c r="C219" s="9" t="s">
        <v>488</v>
      </c>
      <c r="D219" s="9" t="s">
        <v>479</v>
      </c>
      <c r="E219" s="9" t="s">
        <v>38</v>
      </c>
      <c r="F219" s="9" t="s">
        <v>38</v>
      </c>
      <c r="G219" s="9" t="str">
        <f t="shared" si="15"/>
        <v>IQ</v>
      </c>
      <c r="H219" s="9" t="s">
        <v>44</v>
      </c>
      <c r="I219" s="12" t="s">
        <v>41</v>
      </c>
      <c r="J219" s="9">
        <v>65</v>
      </c>
      <c r="K219" s="9" t="s">
        <v>489</v>
      </c>
      <c r="L219" s="9"/>
      <c r="M219" s="5"/>
      <c r="N219" s="5"/>
      <c r="O219" s="5"/>
      <c r="P219" s="5"/>
      <c r="Q219" s="5"/>
      <c r="R219" s="5"/>
      <c r="S219" s="5"/>
      <c r="T219" s="5"/>
      <c r="U219" s="5"/>
      <c r="V219" s="5"/>
      <c r="W219" s="5"/>
      <c r="X219" s="5"/>
      <c r="Y219" s="5"/>
      <c r="Z219" s="5"/>
      <c r="AA219" s="5"/>
      <c r="AB219" s="5"/>
    </row>
    <row r="220" spans="1:28" ht="67.5" x14ac:dyDescent="0.2">
      <c r="A220" s="9" t="str">
        <f t="shared" si="13"/>
        <v>SKILL-218</v>
      </c>
      <c r="B220" s="9" t="str">
        <f t="shared" si="0"/>
        <v>FUGA - F|D</v>
      </c>
      <c r="C220" s="9" t="s">
        <v>490</v>
      </c>
      <c r="D220" s="9" t="s">
        <v>479</v>
      </c>
      <c r="E220" s="9" t="s">
        <v>50</v>
      </c>
      <c r="F220" s="9" t="s">
        <v>39</v>
      </c>
      <c r="G220" s="9" t="str">
        <f t="shared" si="15"/>
        <v>DX</v>
      </c>
      <c r="H220" s="9" t="s">
        <v>130</v>
      </c>
      <c r="I220" s="12" t="s">
        <v>41</v>
      </c>
      <c r="J220" s="9">
        <v>65</v>
      </c>
      <c r="K220" s="9" t="s">
        <v>491</v>
      </c>
      <c r="L220" s="9"/>
      <c r="M220" s="5"/>
      <c r="N220" s="5"/>
      <c r="O220" s="5"/>
      <c r="P220" s="5"/>
      <c r="Q220" s="5"/>
      <c r="R220" s="5"/>
      <c r="S220" s="5"/>
      <c r="T220" s="5"/>
      <c r="U220" s="5"/>
      <c r="V220" s="5"/>
      <c r="W220" s="5"/>
      <c r="X220" s="5"/>
      <c r="Y220" s="5"/>
      <c r="Z220" s="5"/>
      <c r="AA220" s="5"/>
      <c r="AB220" s="5"/>
    </row>
    <row r="221" spans="1:28" ht="135" x14ac:dyDescent="0.2">
      <c r="A221" s="9" t="str">
        <f t="shared" si="13"/>
        <v>SKILL-219</v>
      </c>
      <c r="B221" s="9" t="str">
        <f t="shared" si="0"/>
        <v>FALSIFICAÇÃO - M|D</v>
      </c>
      <c r="C221" s="9" t="s">
        <v>492</v>
      </c>
      <c r="D221" s="9" t="s">
        <v>479</v>
      </c>
      <c r="E221" s="9" t="s">
        <v>38</v>
      </c>
      <c r="F221" s="9" t="s">
        <v>39</v>
      </c>
      <c r="G221" s="9" t="str">
        <f t="shared" si="15"/>
        <v>IQ</v>
      </c>
      <c r="H221" s="9" t="s">
        <v>493</v>
      </c>
      <c r="I221" s="12" t="s">
        <v>41</v>
      </c>
      <c r="J221" s="9">
        <v>65</v>
      </c>
      <c r="K221" s="9" t="s">
        <v>494</v>
      </c>
      <c r="L221" s="9"/>
      <c r="M221" s="5"/>
      <c r="N221" s="5"/>
      <c r="O221" s="5"/>
      <c r="P221" s="5"/>
      <c r="Q221" s="5"/>
      <c r="R221" s="5"/>
      <c r="S221" s="5"/>
      <c r="T221" s="5"/>
      <c r="U221" s="5"/>
      <c r="V221" s="5"/>
      <c r="W221" s="5"/>
      <c r="X221" s="5"/>
      <c r="Y221" s="5"/>
      <c r="Z221" s="5"/>
      <c r="AA221" s="5"/>
      <c r="AB221" s="5"/>
    </row>
    <row r="222" spans="1:28" ht="409.5" x14ac:dyDescent="0.2">
      <c r="A222" s="9" t="str">
        <f t="shared" si="13"/>
        <v>SKILL-220</v>
      </c>
      <c r="B222" s="9" t="str">
        <f t="shared" si="0"/>
        <v>OCULTAMENTO - M|M</v>
      </c>
      <c r="C222" s="9" t="s">
        <v>495</v>
      </c>
      <c r="D222" s="9" t="s">
        <v>479</v>
      </c>
      <c r="E222" s="9" t="s">
        <v>38</v>
      </c>
      <c r="F222" s="9" t="s">
        <v>38</v>
      </c>
      <c r="G222" s="9" t="str">
        <f t="shared" si="15"/>
        <v>IQ</v>
      </c>
      <c r="H222" s="9" t="s">
        <v>496</v>
      </c>
      <c r="I222" s="12" t="s">
        <v>41</v>
      </c>
      <c r="J222" s="9">
        <v>66</v>
      </c>
      <c r="K222" s="9" t="s">
        <v>497</v>
      </c>
      <c r="L222" s="9"/>
      <c r="M222" s="5"/>
      <c r="N222" s="5"/>
      <c r="O222" s="5"/>
      <c r="P222" s="5"/>
      <c r="Q222" s="5"/>
      <c r="R222" s="5"/>
      <c r="S222" s="5"/>
      <c r="T222" s="5"/>
      <c r="U222" s="5"/>
      <c r="V222" s="5"/>
      <c r="W222" s="5"/>
      <c r="X222" s="5"/>
      <c r="Y222" s="5"/>
      <c r="Z222" s="5"/>
      <c r="AA222" s="5"/>
      <c r="AB222" s="5"/>
    </row>
    <row r="223" spans="1:28" ht="33.75" x14ac:dyDescent="0.2">
      <c r="A223" s="9" t="str">
        <f t="shared" si="13"/>
        <v>SKILL-221</v>
      </c>
      <c r="B223" s="9" t="str">
        <f t="shared" si="0"/>
        <v>SERVIÇO SECRETO - M|M</v>
      </c>
      <c r="C223" s="9" t="s">
        <v>498</v>
      </c>
      <c r="D223" s="9" t="s">
        <v>479</v>
      </c>
      <c r="E223" s="9" t="s">
        <v>38</v>
      </c>
      <c r="F223" s="9" t="s">
        <v>38</v>
      </c>
      <c r="G223" s="9" t="str">
        <f t="shared" si="15"/>
        <v>IQ</v>
      </c>
      <c r="H223" s="9" t="s">
        <v>40</v>
      </c>
      <c r="I223" s="12" t="s">
        <v>41</v>
      </c>
      <c r="J223" s="9">
        <v>66</v>
      </c>
      <c r="K223" s="9" t="s">
        <v>499</v>
      </c>
      <c r="L223" s="9"/>
      <c r="M223" s="5"/>
      <c r="N223" s="5"/>
      <c r="O223" s="5"/>
      <c r="P223" s="5"/>
      <c r="Q223" s="5"/>
      <c r="R223" s="5"/>
      <c r="S223" s="5"/>
      <c r="T223" s="5"/>
      <c r="U223" s="5"/>
      <c r="V223" s="5"/>
      <c r="W223" s="5"/>
      <c r="X223" s="5"/>
      <c r="Y223" s="5"/>
      <c r="Z223" s="5"/>
      <c r="AA223" s="5"/>
      <c r="AB223" s="5"/>
    </row>
    <row r="224" spans="1:28" ht="180" x14ac:dyDescent="0.2">
      <c r="A224" s="9" t="str">
        <f t="shared" si="13"/>
        <v>SKILL-222</v>
      </c>
      <c r="B224" s="9" t="str">
        <f t="shared" si="0"/>
        <v>INTERROGATÓRIO - M|M</v>
      </c>
      <c r="C224" s="9" t="s">
        <v>500</v>
      </c>
      <c r="D224" s="9" t="s">
        <v>479</v>
      </c>
      <c r="E224" s="9" t="s">
        <v>38</v>
      </c>
      <c r="F224" s="9" t="s">
        <v>38</v>
      </c>
      <c r="G224" s="9" t="str">
        <f t="shared" si="15"/>
        <v>IQ</v>
      </c>
      <c r="H224" s="9" t="s">
        <v>44</v>
      </c>
      <c r="I224" s="12" t="s">
        <v>41</v>
      </c>
      <c r="J224" s="9">
        <v>66</v>
      </c>
      <c r="K224" s="9" t="s">
        <v>501</v>
      </c>
      <c r="L224" s="9"/>
      <c r="M224" s="5"/>
      <c r="N224" s="5"/>
      <c r="O224" s="5"/>
      <c r="P224" s="5"/>
      <c r="Q224" s="5"/>
      <c r="R224" s="5"/>
      <c r="S224" s="5"/>
      <c r="T224" s="5"/>
      <c r="U224" s="5"/>
      <c r="V224" s="5"/>
      <c r="W224" s="5"/>
      <c r="X224" s="5"/>
      <c r="Y224" s="5"/>
      <c r="Z224" s="5"/>
      <c r="AA224" s="5"/>
      <c r="AB224" s="5"/>
    </row>
    <row r="225" spans="1:28" ht="112.5" x14ac:dyDescent="0.2">
      <c r="A225" s="9" t="str">
        <f t="shared" si="13"/>
        <v>SKILL-223</v>
      </c>
      <c r="B225" s="9" t="str">
        <f t="shared" si="0"/>
        <v>LEITURA LABIAL - M|M</v>
      </c>
      <c r="C225" s="9" t="s">
        <v>502</v>
      </c>
      <c r="D225" s="9" t="s">
        <v>479</v>
      </c>
      <c r="E225" s="9" t="s">
        <v>38</v>
      </c>
      <c r="F225" s="9" t="s">
        <v>38</v>
      </c>
      <c r="G225" s="9" t="str">
        <f t="shared" si="15"/>
        <v>IQ</v>
      </c>
      <c r="H225" s="9" t="s">
        <v>503</v>
      </c>
      <c r="I225" s="12" t="s">
        <v>41</v>
      </c>
      <c r="J225" s="9">
        <v>66</v>
      </c>
      <c r="K225" s="9" t="s">
        <v>504</v>
      </c>
      <c r="L225" s="9"/>
      <c r="M225" s="5"/>
      <c r="N225" s="5"/>
      <c r="O225" s="5"/>
      <c r="P225" s="5"/>
      <c r="Q225" s="5"/>
      <c r="R225" s="5"/>
      <c r="S225" s="5"/>
      <c r="T225" s="5"/>
      <c r="U225" s="5"/>
      <c r="V225" s="5"/>
      <c r="W225" s="5"/>
      <c r="X225" s="5"/>
      <c r="Y225" s="5"/>
      <c r="Z225" s="5"/>
      <c r="AA225" s="5"/>
      <c r="AB225" s="5"/>
    </row>
    <row r="226" spans="1:28" ht="123.75" x14ac:dyDescent="0.2">
      <c r="A226" s="9" t="str">
        <f t="shared" si="13"/>
        <v>SKILL-224</v>
      </c>
      <c r="B226" s="9" t="str">
        <f t="shared" si="0"/>
        <v>ARROMABAMENTO - M|M</v>
      </c>
      <c r="C226" s="9" t="s">
        <v>505</v>
      </c>
      <c r="D226" s="9" t="s">
        <v>479</v>
      </c>
      <c r="E226" s="9" t="s">
        <v>38</v>
      </c>
      <c r="F226" s="9" t="s">
        <v>38</v>
      </c>
      <c r="G226" s="9" t="str">
        <f t="shared" si="15"/>
        <v>IQ</v>
      </c>
      <c r="H226" s="9" t="s">
        <v>44</v>
      </c>
      <c r="I226" s="12" t="s">
        <v>41</v>
      </c>
      <c r="J226" s="9">
        <v>67</v>
      </c>
      <c r="K226" s="9" t="s">
        <v>506</v>
      </c>
      <c r="L226" s="9"/>
      <c r="M226" s="5"/>
      <c r="N226" s="5"/>
      <c r="O226" s="5"/>
      <c r="P226" s="5"/>
      <c r="Q226" s="5"/>
      <c r="R226" s="5"/>
      <c r="S226" s="5"/>
      <c r="T226" s="5"/>
      <c r="U226" s="5"/>
      <c r="V226" s="5"/>
      <c r="W226" s="5"/>
      <c r="X226" s="5"/>
      <c r="Y226" s="5"/>
      <c r="Z226" s="5"/>
      <c r="AA226" s="5"/>
      <c r="AB226" s="5"/>
    </row>
    <row r="227" spans="1:28" ht="101.25" x14ac:dyDescent="0.2">
      <c r="A227" s="9" t="str">
        <f t="shared" si="13"/>
        <v>SKILL-225</v>
      </c>
      <c r="B227" s="9" t="str">
        <f t="shared" si="0"/>
        <v>PUNGA - F|D</v>
      </c>
      <c r="C227" s="9" t="s">
        <v>507</v>
      </c>
      <c r="D227" s="9" t="s">
        <v>479</v>
      </c>
      <c r="E227" s="9" t="s">
        <v>50</v>
      </c>
      <c r="F227" s="9" t="s">
        <v>39</v>
      </c>
      <c r="G227" s="9" t="str">
        <f t="shared" si="15"/>
        <v>DX</v>
      </c>
      <c r="H227" s="9" t="s">
        <v>508</v>
      </c>
      <c r="I227" s="12" t="s">
        <v>41</v>
      </c>
      <c r="J227" s="9">
        <v>67</v>
      </c>
      <c r="K227" s="9" t="s">
        <v>509</v>
      </c>
      <c r="L227" s="9"/>
      <c r="M227" s="5"/>
      <c r="N227" s="5"/>
      <c r="O227" s="5"/>
      <c r="P227" s="5"/>
      <c r="Q227" s="5"/>
      <c r="R227" s="5"/>
      <c r="S227" s="5"/>
      <c r="T227" s="5"/>
      <c r="U227" s="5"/>
      <c r="V227" s="5"/>
      <c r="W227" s="5"/>
      <c r="X227" s="5"/>
      <c r="Y227" s="5"/>
      <c r="Z227" s="5"/>
      <c r="AA227" s="5"/>
      <c r="AB227" s="5"/>
    </row>
    <row r="228" spans="1:28" ht="112.5" x14ac:dyDescent="0.2">
      <c r="A228" s="9" t="str">
        <f t="shared" si="13"/>
        <v>SKILL-226</v>
      </c>
      <c r="B228" s="9" t="str">
        <f t="shared" si="0"/>
        <v>VENEFÍCIO - M|D</v>
      </c>
      <c r="C228" s="9" t="s">
        <v>510</v>
      </c>
      <c r="D228" s="9" t="s">
        <v>479</v>
      </c>
      <c r="E228" s="9" t="s">
        <v>38</v>
      </c>
      <c r="F228" s="9" t="s">
        <v>39</v>
      </c>
      <c r="G228" s="9" t="str">
        <f t="shared" si="15"/>
        <v>IQ</v>
      </c>
      <c r="H228" s="9" t="s">
        <v>511</v>
      </c>
      <c r="I228" s="12" t="s">
        <v>41</v>
      </c>
      <c r="J228" s="9">
        <v>67</v>
      </c>
      <c r="K228" s="9" t="s">
        <v>512</v>
      </c>
      <c r="L228" s="9"/>
      <c r="M228" s="5"/>
      <c r="N228" s="5"/>
      <c r="O228" s="5"/>
      <c r="P228" s="5"/>
      <c r="Q228" s="5"/>
      <c r="R228" s="5"/>
      <c r="S228" s="5"/>
      <c r="T228" s="5"/>
      <c r="U228" s="5"/>
      <c r="V228" s="5"/>
      <c r="W228" s="5"/>
      <c r="X228" s="5"/>
      <c r="Y228" s="5"/>
      <c r="Z228" s="5"/>
      <c r="AA228" s="5"/>
      <c r="AB228" s="5"/>
    </row>
    <row r="229" spans="1:28" ht="78.75" x14ac:dyDescent="0.2">
      <c r="A229" s="9" t="str">
        <f t="shared" si="13"/>
        <v>SKILL-227</v>
      </c>
      <c r="B229" s="9" t="str">
        <f t="shared" si="0"/>
        <v>CAPTAÇÃO - M|F</v>
      </c>
      <c r="C229" s="9" t="s">
        <v>513</v>
      </c>
      <c r="D229" s="9" t="s">
        <v>479</v>
      </c>
      <c r="E229" s="9" t="s">
        <v>38</v>
      </c>
      <c r="F229" s="9" t="s">
        <v>50</v>
      </c>
      <c r="G229" s="9" t="str">
        <f t="shared" si="15"/>
        <v>IQ</v>
      </c>
      <c r="H229" s="9" t="s">
        <v>249</v>
      </c>
      <c r="I229" s="12" t="s">
        <v>41</v>
      </c>
      <c r="J229" s="9">
        <v>67</v>
      </c>
      <c r="K229" s="9" t="s">
        <v>514</v>
      </c>
      <c r="L229" s="9"/>
      <c r="M229" s="5"/>
      <c r="N229" s="5"/>
      <c r="O229" s="5"/>
      <c r="P229" s="5"/>
      <c r="Q229" s="5"/>
      <c r="R229" s="5"/>
      <c r="S229" s="5"/>
      <c r="T229" s="5"/>
      <c r="U229" s="5"/>
      <c r="V229" s="5"/>
      <c r="W229" s="5"/>
      <c r="X229" s="5"/>
      <c r="Y229" s="5"/>
      <c r="Z229" s="5"/>
      <c r="AA229" s="5"/>
      <c r="AB229" s="5"/>
    </row>
    <row r="230" spans="1:28" ht="135" x14ac:dyDescent="0.2">
      <c r="A230" s="9" t="str">
        <f t="shared" si="13"/>
        <v>SKILL-228</v>
      </c>
      <c r="B230" s="9" t="str">
        <f t="shared" si="0"/>
        <v>SOMBRA - M|M</v>
      </c>
      <c r="C230" s="9" t="s">
        <v>515</v>
      </c>
      <c r="D230" s="9" t="s">
        <v>479</v>
      </c>
      <c r="E230" s="9" t="s">
        <v>38</v>
      </c>
      <c r="F230" s="9" t="s">
        <v>38</v>
      </c>
      <c r="G230" s="9" t="str">
        <f t="shared" si="15"/>
        <v>IQ</v>
      </c>
      <c r="H230" s="9" t="s">
        <v>516</v>
      </c>
      <c r="I230" s="12" t="s">
        <v>41</v>
      </c>
      <c r="J230" s="9">
        <v>67</v>
      </c>
      <c r="K230" s="9" t="s">
        <v>517</v>
      </c>
      <c r="L230" s="9"/>
      <c r="M230" s="5"/>
      <c r="N230" s="5"/>
      <c r="O230" s="5"/>
      <c r="P230" s="5"/>
      <c r="Q230" s="5"/>
      <c r="R230" s="5"/>
      <c r="S230" s="5"/>
      <c r="T230" s="5"/>
      <c r="U230" s="5"/>
      <c r="V230" s="5"/>
      <c r="W230" s="5"/>
      <c r="X230" s="5"/>
      <c r="Y230" s="5"/>
      <c r="Z230" s="5"/>
      <c r="AA230" s="5"/>
      <c r="AB230" s="5"/>
    </row>
    <row r="231" spans="1:28" ht="112.5" x14ac:dyDescent="0.2">
      <c r="A231" s="9" t="str">
        <f t="shared" si="13"/>
        <v>SKILL-229</v>
      </c>
      <c r="B231" s="9" t="str">
        <f t="shared" si="0"/>
        <v>PRESTIDIGITAÇÃO - F|D</v>
      </c>
      <c r="C231" s="9" t="s">
        <v>518</v>
      </c>
      <c r="D231" s="9" t="s">
        <v>479</v>
      </c>
      <c r="E231" s="9" t="s">
        <v>50</v>
      </c>
      <c r="F231" s="9" t="s">
        <v>39</v>
      </c>
      <c r="G231" s="9" t="str">
        <f t="shared" si="15"/>
        <v>DX</v>
      </c>
      <c r="H231" s="9"/>
      <c r="I231" s="12" t="s">
        <v>41</v>
      </c>
      <c r="J231" s="9">
        <v>67</v>
      </c>
      <c r="K231" s="9" t="s">
        <v>519</v>
      </c>
      <c r="L231" s="9"/>
      <c r="M231" s="5"/>
      <c r="N231" s="5"/>
      <c r="O231" s="5"/>
      <c r="P231" s="5"/>
      <c r="Q231" s="5"/>
      <c r="R231" s="5"/>
      <c r="S231" s="5"/>
      <c r="T231" s="5"/>
      <c r="U231" s="5"/>
      <c r="V231" s="5"/>
      <c r="W231" s="5"/>
      <c r="X231" s="5"/>
      <c r="Y231" s="5"/>
      <c r="Z231" s="5"/>
      <c r="AA231" s="5"/>
      <c r="AB231" s="5"/>
    </row>
    <row r="232" spans="1:28" ht="146.25" x14ac:dyDescent="0.2">
      <c r="A232" s="9" t="str">
        <f t="shared" si="13"/>
        <v>SKILL-230</v>
      </c>
      <c r="B232" s="9" t="str">
        <f t="shared" si="0"/>
        <v>FURTIVIDADE - F|M</v>
      </c>
      <c r="C232" s="9" t="s">
        <v>520</v>
      </c>
      <c r="D232" s="9" t="s">
        <v>479</v>
      </c>
      <c r="E232" s="9" t="s">
        <v>50</v>
      </c>
      <c r="F232" s="9" t="s">
        <v>38</v>
      </c>
      <c r="G232" s="9" t="str">
        <f t="shared" si="15"/>
        <v>DX</v>
      </c>
      <c r="H232" s="9" t="s">
        <v>521</v>
      </c>
      <c r="I232" s="12" t="s">
        <v>41</v>
      </c>
      <c r="J232" s="9">
        <v>67</v>
      </c>
      <c r="K232" s="9" t="s">
        <v>522</v>
      </c>
      <c r="L232" s="9"/>
      <c r="M232" s="5"/>
      <c r="N232" s="5"/>
      <c r="O232" s="5"/>
      <c r="P232" s="5"/>
      <c r="Q232" s="5"/>
      <c r="R232" s="5"/>
      <c r="S232" s="5"/>
      <c r="T232" s="5"/>
      <c r="U232" s="5"/>
      <c r="V232" s="5"/>
      <c r="W232" s="5"/>
      <c r="X232" s="5"/>
      <c r="Y232" s="5"/>
      <c r="Z232" s="5"/>
      <c r="AA232" s="5"/>
      <c r="AB232" s="5"/>
    </row>
    <row r="233" spans="1:28" ht="146.25" x14ac:dyDescent="0.2">
      <c r="A233" s="9" t="str">
        <f t="shared" si="13"/>
        <v>SKILL-231</v>
      </c>
      <c r="B233" s="9" t="str">
        <f t="shared" si="0"/>
        <v>MANHA - M|M</v>
      </c>
      <c r="C233" s="9" t="s">
        <v>523</v>
      </c>
      <c r="D233" s="9" t="s">
        <v>479</v>
      </c>
      <c r="E233" s="9" t="s">
        <v>38</v>
      </c>
      <c r="F233" s="9" t="s">
        <v>38</v>
      </c>
      <c r="G233" s="9" t="str">
        <f t="shared" si="15"/>
        <v>IQ</v>
      </c>
      <c r="H233" s="9" t="s">
        <v>44</v>
      </c>
      <c r="I233" s="12" t="s">
        <v>41</v>
      </c>
      <c r="J233" s="9">
        <v>67</v>
      </c>
      <c r="K233" s="9" t="s">
        <v>524</v>
      </c>
      <c r="L233" s="9"/>
      <c r="M233" s="5"/>
      <c r="N233" s="5"/>
      <c r="O233" s="5"/>
      <c r="P233" s="5"/>
      <c r="Q233" s="5"/>
      <c r="R233" s="5"/>
      <c r="S233" s="5"/>
      <c r="T233" s="5"/>
      <c r="U233" s="5"/>
      <c r="V233" s="5"/>
      <c r="W233" s="5"/>
      <c r="X233" s="5"/>
      <c r="Y233" s="5"/>
      <c r="Z233" s="5"/>
      <c r="AA233" s="5"/>
      <c r="AB233" s="5"/>
    </row>
    <row r="234" spans="1:28" ht="168.75" x14ac:dyDescent="0.2">
      <c r="A234" s="9" t="str">
        <f t="shared" si="13"/>
        <v>SKILL-232</v>
      </c>
      <c r="B234" s="9" t="str">
        <f t="shared" si="0"/>
        <v>ARMADILHA - M|M</v>
      </c>
      <c r="C234" s="9" t="s">
        <v>525</v>
      </c>
      <c r="D234" s="9" t="s">
        <v>479</v>
      </c>
      <c r="E234" s="9" t="s">
        <v>38</v>
      </c>
      <c r="F234" s="9" t="s">
        <v>38</v>
      </c>
      <c r="G234" s="9" t="str">
        <f t="shared" si="15"/>
        <v>IQ</v>
      </c>
      <c r="H234" s="9" t="s">
        <v>44</v>
      </c>
      <c r="I234" s="12" t="s">
        <v>41</v>
      </c>
      <c r="J234" s="9">
        <v>68</v>
      </c>
      <c r="K234" s="9" t="s">
        <v>526</v>
      </c>
      <c r="L234" s="9"/>
      <c r="M234" s="5"/>
      <c r="N234" s="5"/>
      <c r="O234" s="5"/>
      <c r="P234" s="5"/>
      <c r="Q234" s="5"/>
      <c r="R234" s="5"/>
      <c r="S234" s="5"/>
      <c r="T234" s="5"/>
      <c r="U234" s="5"/>
      <c r="V234" s="5"/>
      <c r="W234" s="5"/>
      <c r="X234" s="5"/>
      <c r="Y234" s="5"/>
      <c r="Z234" s="5"/>
      <c r="AA234" s="5"/>
      <c r="AB234" s="5"/>
    </row>
    <row r="235" spans="1:28" ht="78.75" x14ac:dyDescent="0.2">
      <c r="A235" s="9" t="str">
        <f t="shared" si="13"/>
        <v>SKILL-233</v>
      </c>
      <c r="B235" s="9" t="str">
        <f t="shared" si="0"/>
        <v>DEMOLIÇÃO SUBAQUÁTICA - M|M</v>
      </c>
      <c r="C235" s="9" t="s">
        <v>527</v>
      </c>
      <c r="D235" s="9" t="s">
        <v>479</v>
      </c>
      <c r="E235" s="9" t="s">
        <v>38</v>
      </c>
      <c r="F235" s="9" t="s">
        <v>38</v>
      </c>
      <c r="G235" s="9" t="str">
        <f t="shared" si="15"/>
        <v>IQ</v>
      </c>
      <c r="H235" s="9" t="s">
        <v>528</v>
      </c>
      <c r="I235" s="12" t="s">
        <v>41</v>
      </c>
      <c r="J235" s="9">
        <v>68</v>
      </c>
      <c r="K235" s="9" t="s">
        <v>529</v>
      </c>
      <c r="L235" s="9" t="s">
        <v>530</v>
      </c>
      <c r="M235" s="5"/>
      <c r="N235" s="5"/>
      <c r="O235" s="5"/>
      <c r="P235" s="5"/>
      <c r="Q235" s="5"/>
      <c r="R235" s="5"/>
      <c r="S235" s="5"/>
      <c r="T235" s="5"/>
      <c r="U235" s="5"/>
      <c r="V235" s="5"/>
      <c r="W235" s="5"/>
      <c r="X235" s="5"/>
      <c r="Y235" s="5"/>
      <c r="Z235" s="5"/>
      <c r="AA235" s="5"/>
      <c r="AB235" s="5"/>
    </row>
    <row r="236" spans="1:28" ht="67.5" x14ac:dyDescent="0.2">
      <c r="A236" s="9" t="str">
        <f t="shared" si="13"/>
        <v>SKILL-234</v>
      </c>
      <c r="B236" s="9" t="str">
        <f t="shared" si="0"/>
        <v>VENTRILOQUISMO - M|D</v>
      </c>
      <c r="C236" s="9" t="s">
        <v>531</v>
      </c>
      <c r="D236" s="9" t="s">
        <v>479</v>
      </c>
      <c r="E236" s="9" t="s">
        <v>38</v>
      </c>
      <c r="F236" s="9" t="s">
        <v>39</v>
      </c>
      <c r="G236" s="9" t="str">
        <f t="shared" si="15"/>
        <v>IQ</v>
      </c>
      <c r="H236" s="9"/>
      <c r="I236" s="12" t="s">
        <v>41</v>
      </c>
      <c r="J236" s="9">
        <v>68</v>
      </c>
      <c r="K236" s="9" t="s">
        <v>532</v>
      </c>
      <c r="L236" s="9"/>
      <c r="M236" s="5"/>
      <c r="N236" s="5"/>
      <c r="O236" s="5"/>
      <c r="P236" s="5"/>
      <c r="Q236" s="5"/>
      <c r="R236" s="5"/>
      <c r="S236" s="5"/>
      <c r="T236" s="5"/>
      <c r="U236" s="5"/>
      <c r="V236" s="5"/>
      <c r="W236" s="5"/>
      <c r="X236" s="5"/>
      <c r="Y236" s="5"/>
      <c r="Z236" s="5"/>
      <c r="AA236" s="5"/>
      <c r="AB236" s="5"/>
    </row>
    <row r="237" spans="1:28" ht="45" x14ac:dyDescent="0.2">
      <c r="A237" s="9" t="str">
        <f t="shared" si="13"/>
        <v>SKILL-235</v>
      </c>
      <c r="B237" s="9" t="str">
        <f t="shared" si="0"/>
        <v>CICLISMO - F|F</v>
      </c>
      <c r="C237" s="9" t="s">
        <v>533</v>
      </c>
      <c r="D237" s="9" t="s">
        <v>534</v>
      </c>
      <c r="E237" s="9" t="s">
        <v>50</v>
      </c>
      <c r="F237" s="9" t="s">
        <v>50</v>
      </c>
      <c r="G237" s="9" t="str">
        <f t="shared" si="15"/>
        <v>DX</v>
      </c>
      <c r="H237" s="9" t="s">
        <v>535</v>
      </c>
      <c r="I237" s="12" t="s">
        <v>41</v>
      </c>
      <c r="J237" s="9">
        <v>68</v>
      </c>
      <c r="K237" s="9" t="s">
        <v>536</v>
      </c>
      <c r="L237" s="9"/>
      <c r="M237" s="5"/>
      <c r="N237" s="5"/>
      <c r="O237" s="5"/>
      <c r="P237" s="5"/>
      <c r="Q237" s="5"/>
      <c r="R237" s="5"/>
      <c r="S237" s="5"/>
      <c r="T237" s="5"/>
      <c r="U237" s="5"/>
      <c r="V237" s="5"/>
      <c r="W237" s="5"/>
      <c r="X237" s="5"/>
      <c r="Y237" s="5"/>
      <c r="Z237" s="5"/>
      <c r="AA237" s="5"/>
      <c r="AB237" s="5"/>
    </row>
    <row r="238" spans="1:28" ht="78.75" x14ac:dyDescent="0.2">
      <c r="A238" s="9" t="str">
        <f t="shared" si="13"/>
        <v>SKILL-236</v>
      </c>
      <c r="B238" s="9" t="str">
        <f t="shared" si="0"/>
        <v>REMO/ VELA - F|M</v>
      </c>
      <c r="C238" s="9" t="s">
        <v>537</v>
      </c>
      <c r="D238" s="9" t="s">
        <v>534</v>
      </c>
      <c r="E238" s="9" t="s">
        <v>50</v>
      </c>
      <c r="F238" s="9" t="s">
        <v>38</v>
      </c>
      <c r="G238" s="9" t="str">
        <f t="shared" si="15"/>
        <v>DX</v>
      </c>
      <c r="H238" s="9" t="s">
        <v>538</v>
      </c>
      <c r="I238" s="12" t="s">
        <v>41</v>
      </c>
      <c r="J238" s="9">
        <v>68</v>
      </c>
      <c r="K238" s="9" t="s">
        <v>539</v>
      </c>
      <c r="L238" s="9"/>
      <c r="M238" s="5"/>
      <c r="N238" s="5"/>
      <c r="O238" s="5"/>
      <c r="P238" s="5"/>
      <c r="Q238" s="5"/>
      <c r="R238" s="5"/>
      <c r="S238" s="5"/>
      <c r="T238" s="5"/>
      <c r="U238" s="5"/>
      <c r="V238" s="5"/>
      <c r="W238" s="5"/>
      <c r="X238" s="5"/>
      <c r="Y238" s="5"/>
      <c r="Z238" s="5"/>
      <c r="AA238" s="5"/>
      <c r="AB238" s="5"/>
    </row>
    <row r="239" spans="1:28" ht="90" x14ac:dyDescent="0.2">
      <c r="A239" s="9" t="str">
        <f t="shared" si="13"/>
        <v>SKILL-237</v>
      </c>
      <c r="B239" s="9" t="str">
        <f t="shared" si="0"/>
        <v>CONDUÇÃO | CARRO - F|M</v>
      </c>
      <c r="C239" s="9" t="s">
        <v>540</v>
      </c>
      <c r="D239" s="9" t="s">
        <v>534</v>
      </c>
      <c r="E239" s="9" t="s">
        <v>50</v>
      </c>
      <c r="F239" s="9" t="s">
        <v>38</v>
      </c>
      <c r="G239" s="9" t="str">
        <f t="shared" si="15"/>
        <v>DX</v>
      </c>
      <c r="H239" s="9" t="s">
        <v>521</v>
      </c>
      <c r="I239" s="12" t="s">
        <v>41</v>
      </c>
      <c r="J239" s="9">
        <v>68</v>
      </c>
      <c r="K239" s="9" t="s">
        <v>541</v>
      </c>
      <c r="L239" s="9"/>
      <c r="M239" s="5"/>
      <c r="N239" s="5"/>
      <c r="O239" s="5"/>
      <c r="P239" s="5"/>
      <c r="Q239" s="5"/>
      <c r="R239" s="5"/>
      <c r="S239" s="5"/>
      <c r="T239" s="5"/>
      <c r="U239" s="5"/>
      <c r="V239" s="5"/>
      <c r="W239" s="5"/>
      <c r="X239" s="5"/>
      <c r="Y239" s="5"/>
      <c r="Z239" s="5"/>
      <c r="AA239" s="5"/>
      <c r="AB239" s="5"/>
    </row>
    <row r="240" spans="1:28" ht="90" x14ac:dyDescent="0.2">
      <c r="A240" s="9" t="str">
        <f t="shared" si="13"/>
        <v>SKILL-238</v>
      </c>
      <c r="B240" s="9" t="str">
        <f t="shared" si="0"/>
        <v>CONDUÇÃO | CAMINHÃO - F|M</v>
      </c>
      <c r="C240" s="9" t="s">
        <v>542</v>
      </c>
      <c r="D240" s="9" t="s">
        <v>534</v>
      </c>
      <c r="E240" s="9" t="s">
        <v>50</v>
      </c>
      <c r="F240" s="9" t="s">
        <v>38</v>
      </c>
      <c r="G240" s="9" t="str">
        <f t="shared" si="15"/>
        <v>DX</v>
      </c>
      <c r="H240" s="9" t="s">
        <v>521</v>
      </c>
      <c r="I240" s="12" t="s">
        <v>41</v>
      </c>
      <c r="J240" s="9">
        <v>68</v>
      </c>
      <c r="K240" s="9" t="s">
        <v>541</v>
      </c>
      <c r="L240" s="9"/>
      <c r="M240" s="5"/>
      <c r="N240" s="5"/>
      <c r="O240" s="5"/>
      <c r="P240" s="5"/>
      <c r="Q240" s="5"/>
      <c r="R240" s="5"/>
      <c r="S240" s="5"/>
      <c r="T240" s="5"/>
      <c r="U240" s="5"/>
      <c r="V240" s="5"/>
      <c r="W240" s="5"/>
      <c r="X240" s="5"/>
      <c r="Y240" s="5"/>
      <c r="Z240" s="5"/>
      <c r="AA240" s="5"/>
      <c r="AB240" s="5"/>
    </row>
    <row r="241" spans="1:28" ht="90" x14ac:dyDescent="0.2">
      <c r="A241" s="9" t="str">
        <f t="shared" si="13"/>
        <v>SKILL-239</v>
      </c>
      <c r="B241" s="9" t="str">
        <f t="shared" si="0"/>
        <v>CONDUÇÃO | CARRETA - F|M</v>
      </c>
      <c r="C241" s="9" t="s">
        <v>543</v>
      </c>
      <c r="D241" s="9" t="s">
        <v>534</v>
      </c>
      <c r="E241" s="9" t="s">
        <v>50</v>
      </c>
      <c r="F241" s="9" t="s">
        <v>38</v>
      </c>
      <c r="G241" s="9" t="str">
        <f t="shared" si="15"/>
        <v>DX</v>
      </c>
      <c r="H241" s="9" t="s">
        <v>521</v>
      </c>
      <c r="I241" s="12" t="s">
        <v>41</v>
      </c>
      <c r="J241" s="9">
        <v>68</v>
      </c>
      <c r="K241" s="9" t="s">
        <v>541</v>
      </c>
      <c r="L241" s="9"/>
      <c r="M241" s="5"/>
      <c r="N241" s="5"/>
      <c r="O241" s="5"/>
      <c r="P241" s="5"/>
      <c r="Q241" s="5"/>
      <c r="R241" s="5"/>
      <c r="S241" s="5"/>
      <c r="T241" s="5"/>
      <c r="U241" s="5"/>
      <c r="V241" s="5"/>
      <c r="W241" s="5"/>
      <c r="X241" s="5"/>
      <c r="Y241" s="5"/>
      <c r="Z241" s="5"/>
      <c r="AA241" s="5"/>
      <c r="AB241" s="5"/>
    </row>
    <row r="242" spans="1:28" ht="90" x14ac:dyDescent="0.2">
      <c r="A242" s="9" t="str">
        <f t="shared" si="13"/>
        <v>SKILL-240</v>
      </c>
      <c r="B242" s="9" t="str">
        <f t="shared" si="0"/>
        <v>CONDUÇÃO | ÔNIBUS - F|M</v>
      </c>
      <c r="C242" s="9" t="s">
        <v>544</v>
      </c>
      <c r="D242" s="9" t="s">
        <v>534</v>
      </c>
      <c r="E242" s="9" t="s">
        <v>50</v>
      </c>
      <c r="F242" s="9" t="s">
        <v>38</v>
      </c>
      <c r="G242" s="9" t="str">
        <f t="shared" si="15"/>
        <v>DX</v>
      </c>
      <c r="H242" s="9" t="s">
        <v>521</v>
      </c>
      <c r="I242" s="12" t="s">
        <v>41</v>
      </c>
      <c r="J242" s="9">
        <v>68</v>
      </c>
      <c r="K242" s="9" t="s">
        <v>541</v>
      </c>
      <c r="L242" s="9"/>
      <c r="M242" s="5"/>
      <c r="N242" s="5"/>
      <c r="O242" s="5"/>
      <c r="P242" s="5"/>
      <c r="Q242" s="5"/>
      <c r="R242" s="5"/>
      <c r="S242" s="5"/>
      <c r="T242" s="5"/>
      <c r="U242" s="5"/>
      <c r="V242" s="5"/>
      <c r="W242" s="5"/>
      <c r="X242" s="5"/>
      <c r="Y242" s="5"/>
      <c r="Z242" s="5"/>
      <c r="AA242" s="5"/>
      <c r="AB242" s="5"/>
    </row>
    <row r="243" spans="1:28" ht="90" x14ac:dyDescent="0.2">
      <c r="A243" s="9" t="str">
        <f t="shared" si="13"/>
        <v>SKILL-241</v>
      </c>
      <c r="B243" s="9" t="str">
        <f t="shared" si="0"/>
        <v>CONDUÇÃO | TANQUE - F|M</v>
      </c>
      <c r="C243" s="9" t="s">
        <v>545</v>
      </c>
      <c r="D243" s="9" t="s">
        <v>534</v>
      </c>
      <c r="E243" s="9" t="s">
        <v>50</v>
      </c>
      <c r="F243" s="9" t="s">
        <v>38</v>
      </c>
      <c r="G243" s="9" t="str">
        <f t="shared" si="15"/>
        <v>DX</v>
      </c>
      <c r="H243" s="9" t="s">
        <v>521</v>
      </c>
      <c r="I243" s="12" t="s">
        <v>41</v>
      </c>
      <c r="J243" s="9">
        <v>68</v>
      </c>
      <c r="K243" s="9" t="s">
        <v>541</v>
      </c>
      <c r="L243" s="9"/>
      <c r="M243" s="5"/>
      <c r="N243" s="5"/>
      <c r="O243" s="5"/>
      <c r="P243" s="5"/>
      <c r="Q243" s="5"/>
      <c r="R243" s="5"/>
      <c r="S243" s="5"/>
      <c r="T243" s="5"/>
      <c r="U243" s="5"/>
      <c r="V243" s="5"/>
      <c r="W243" s="5"/>
      <c r="X243" s="5"/>
      <c r="Y243" s="5"/>
      <c r="Z243" s="5"/>
      <c r="AA243" s="5"/>
      <c r="AB243" s="5"/>
    </row>
    <row r="244" spans="1:28" ht="56.25" x14ac:dyDescent="0.2">
      <c r="A244" s="9" t="str">
        <f t="shared" si="13"/>
        <v>SKILL-242</v>
      </c>
      <c r="B244" s="9" t="str">
        <f t="shared" si="0"/>
        <v>MOTOCICLISMO - F|F</v>
      </c>
      <c r="C244" s="9" t="s">
        <v>546</v>
      </c>
      <c r="D244" s="9" t="s">
        <v>534</v>
      </c>
      <c r="E244" s="9" t="s">
        <v>50</v>
      </c>
      <c r="F244" s="9" t="s">
        <v>50</v>
      </c>
      <c r="G244" s="9" t="s">
        <v>547</v>
      </c>
      <c r="H244" s="9" t="s">
        <v>548</v>
      </c>
      <c r="I244" s="12" t="s">
        <v>41</v>
      </c>
      <c r="J244" s="9">
        <v>69</v>
      </c>
      <c r="K244" s="9" t="s">
        <v>549</v>
      </c>
      <c r="L244" s="9"/>
      <c r="M244" s="5"/>
      <c r="N244" s="5"/>
      <c r="O244" s="5"/>
      <c r="P244" s="5"/>
      <c r="Q244" s="5"/>
      <c r="R244" s="5"/>
      <c r="S244" s="5"/>
      <c r="T244" s="5"/>
      <c r="U244" s="5"/>
      <c r="V244" s="5"/>
      <c r="W244" s="5"/>
      <c r="X244" s="5"/>
      <c r="Y244" s="5"/>
      <c r="Z244" s="5"/>
      <c r="AA244" s="5"/>
      <c r="AB244" s="5"/>
    </row>
    <row r="245" spans="1:28" ht="180" x14ac:dyDescent="0.2">
      <c r="A245" s="9" t="str">
        <f t="shared" si="13"/>
        <v>SKILL-243</v>
      </c>
      <c r="B245" s="9" t="str">
        <f t="shared" si="0"/>
        <v>PILOTAGEM | MONOMOTOR - F|M</v>
      </c>
      <c r="C245" s="9" t="s">
        <v>550</v>
      </c>
      <c r="D245" s="9" t="s">
        <v>534</v>
      </c>
      <c r="E245" s="9" t="s">
        <v>50</v>
      </c>
      <c r="F245" s="9" t="s">
        <v>38</v>
      </c>
      <c r="G245" s="9" t="s">
        <v>547</v>
      </c>
      <c r="H245" s="9" t="s">
        <v>40</v>
      </c>
      <c r="I245" s="12" t="s">
        <v>41</v>
      </c>
      <c r="J245" s="9">
        <v>69</v>
      </c>
      <c r="K245" s="9" t="s">
        <v>551</v>
      </c>
      <c r="L245" s="9"/>
      <c r="M245" s="5"/>
      <c r="N245" s="5"/>
      <c r="O245" s="5"/>
      <c r="P245" s="5"/>
      <c r="Q245" s="5"/>
      <c r="R245" s="5"/>
      <c r="S245" s="5"/>
      <c r="T245" s="5"/>
      <c r="U245" s="5"/>
      <c r="V245" s="5"/>
      <c r="W245" s="5"/>
      <c r="X245" s="5"/>
      <c r="Y245" s="5"/>
      <c r="Z245" s="5"/>
      <c r="AA245" s="5"/>
      <c r="AB245" s="5"/>
    </row>
    <row r="246" spans="1:28" ht="180" x14ac:dyDescent="0.2">
      <c r="A246" s="9" t="str">
        <f t="shared" si="13"/>
        <v>SKILL-244</v>
      </c>
      <c r="B246" s="9" t="str">
        <f t="shared" si="0"/>
        <v>PILOTAGEM | BIMOTOR - F|M</v>
      </c>
      <c r="C246" s="9" t="s">
        <v>552</v>
      </c>
      <c r="D246" s="9" t="s">
        <v>534</v>
      </c>
      <c r="E246" s="9" t="s">
        <v>50</v>
      </c>
      <c r="F246" s="9" t="s">
        <v>38</v>
      </c>
      <c r="G246" s="9" t="s">
        <v>547</v>
      </c>
      <c r="H246" s="9" t="s">
        <v>40</v>
      </c>
      <c r="I246" s="12" t="s">
        <v>41</v>
      </c>
      <c r="J246" s="9">
        <v>69</v>
      </c>
      <c r="K246" s="9" t="s">
        <v>551</v>
      </c>
      <c r="L246" s="9"/>
      <c r="M246" s="5"/>
      <c r="N246" s="5"/>
      <c r="O246" s="5"/>
      <c r="P246" s="5"/>
      <c r="Q246" s="5"/>
      <c r="R246" s="5"/>
      <c r="S246" s="5"/>
      <c r="T246" s="5"/>
      <c r="U246" s="5"/>
      <c r="V246" s="5"/>
      <c r="W246" s="5"/>
      <c r="X246" s="5"/>
      <c r="Y246" s="5"/>
      <c r="Z246" s="5"/>
      <c r="AA246" s="5"/>
      <c r="AB246" s="5"/>
    </row>
    <row r="247" spans="1:28" ht="180" x14ac:dyDescent="0.2">
      <c r="A247" s="9" t="str">
        <f t="shared" si="13"/>
        <v>SKILL-245</v>
      </c>
      <c r="B247" s="9" t="str">
        <f t="shared" si="0"/>
        <v>PILOTAGEM | QUADRIMOTOR - F|M</v>
      </c>
      <c r="C247" s="9" t="s">
        <v>553</v>
      </c>
      <c r="D247" s="9" t="s">
        <v>534</v>
      </c>
      <c r="E247" s="9" t="s">
        <v>50</v>
      </c>
      <c r="F247" s="9" t="s">
        <v>38</v>
      </c>
      <c r="G247" s="9" t="s">
        <v>547</v>
      </c>
      <c r="H247" s="9" t="s">
        <v>40</v>
      </c>
      <c r="I247" s="12" t="s">
        <v>41</v>
      </c>
      <c r="J247" s="9">
        <v>69</v>
      </c>
      <c r="K247" s="9" t="s">
        <v>551</v>
      </c>
      <c r="L247" s="9"/>
      <c r="M247" s="5"/>
      <c r="N247" s="5"/>
      <c r="O247" s="5"/>
      <c r="P247" s="5"/>
      <c r="Q247" s="5"/>
      <c r="R247" s="5"/>
      <c r="S247" s="5"/>
      <c r="T247" s="5"/>
      <c r="U247" s="5"/>
      <c r="V247" s="5"/>
      <c r="W247" s="5"/>
      <c r="X247" s="5"/>
      <c r="Y247" s="5"/>
      <c r="Z247" s="5"/>
      <c r="AA247" s="5"/>
      <c r="AB247" s="5"/>
    </row>
    <row r="248" spans="1:28" ht="180" x14ac:dyDescent="0.2">
      <c r="A248" s="9" t="str">
        <f t="shared" si="13"/>
        <v>SKILL-246</v>
      </c>
      <c r="B248" s="9" t="str">
        <f t="shared" si="0"/>
        <v>PILOTAGEM | JATOS - F|M</v>
      </c>
      <c r="C248" s="9" t="s">
        <v>554</v>
      </c>
      <c r="D248" s="9" t="s">
        <v>534</v>
      </c>
      <c r="E248" s="9" t="s">
        <v>50</v>
      </c>
      <c r="F248" s="9" t="s">
        <v>38</v>
      </c>
      <c r="G248" s="9" t="s">
        <v>547</v>
      </c>
      <c r="H248" s="9" t="s">
        <v>40</v>
      </c>
      <c r="I248" s="12" t="s">
        <v>41</v>
      </c>
      <c r="J248" s="9">
        <v>69</v>
      </c>
      <c r="K248" s="9" t="s">
        <v>551</v>
      </c>
      <c r="L248" s="9"/>
      <c r="M248" s="5"/>
      <c r="N248" s="5"/>
      <c r="O248" s="5"/>
      <c r="P248" s="5"/>
      <c r="Q248" s="5"/>
      <c r="R248" s="5"/>
      <c r="S248" s="5"/>
      <c r="T248" s="5"/>
      <c r="U248" s="5"/>
      <c r="V248" s="5"/>
      <c r="W248" s="5"/>
      <c r="X248" s="5"/>
      <c r="Y248" s="5"/>
      <c r="Z248" s="5"/>
      <c r="AA248" s="5"/>
      <c r="AB248" s="5"/>
    </row>
    <row r="249" spans="1:28" ht="180" x14ac:dyDescent="0.2">
      <c r="A249" s="9" t="str">
        <f t="shared" si="13"/>
        <v>SKILL-247</v>
      </c>
      <c r="B249" s="9" t="str">
        <f t="shared" si="0"/>
        <v>PILOTAGEM | CAÇA MILITAR - F|M</v>
      </c>
      <c r="C249" s="9" t="s">
        <v>555</v>
      </c>
      <c r="D249" s="9" t="s">
        <v>534</v>
      </c>
      <c r="E249" s="9" t="s">
        <v>50</v>
      </c>
      <c r="F249" s="9" t="s">
        <v>38</v>
      </c>
      <c r="G249" s="9" t="s">
        <v>547</v>
      </c>
      <c r="H249" s="9" t="s">
        <v>40</v>
      </c>
      <c r="I249" s="12" t="s">
        <v>41</v>
      </c>
      <c r="J249" s="9">
        <v>69</v>
      </c>
      <c r="K249" s="9" t="s">
        <v>551</v>
      </c>
      <c r="L249" s="9"/>
      <c r="M249" s="5"/>
      <c r="N249" s="5"/>
      <c r="O249" s="5"/>
      <c r="P249" s="5"/>
      <c r="Q249" s="5"/>
      <c r="R249" s="5"/>
      <c r="S249" s="5"/>
      <c r="T249" s="5"/>
      <c r="U249" s="5"/>
      <c r="V249" s="5"/>
      <c r="W249" s="5"/>
      <c r="X249" s="5"/>
      <c r="Y249" s="5"/>
      <c r="Z249" s="5"/>
      <c r="AA249" s="5"/>
      <c r="AB249" s="5"/>
    </row>
    <row r="250" spans="1:28" ht="180" x14ac:dyDescent="0.2">
      <c r="A250" s="9" t="str">
        <f t="shared" si="13"/>
        <v>SKILL-248</v>
      </c>
      <c r="B250" s="9" t="str">
        <f t="shared" si="0"/>
        <v>PILOTAGEM | HELICÓPTERO PEQUENO - F|M</v>
      </c>
      <c r="C250" s="9" t="s">
        <v>556</v>
      </c>
      <c r="D250" s="9" t="s">
        <v>534</v>
      </c>
      <c r="E250" s="9" t="s">
        <v>50</v>
      </c>
      <c r="F250" s="9" t="s">
        <v>38</v>
      </c>
      <c r="G250" s="9" t="s">
        <v>547</v>
      </c>
      <c r="H250" s="9" t="s">
        <v>40</v>
      </c>
      <c r="I250" s="12" t="s">
        <v>41</v>
      </c>
      <c r="J250" s="9">
        <v>69</v>
      </c>
      <c r="K250" s="9" t="s">
        <v>551</v>
      </c>
      <c r="L250" s="9"/>
      <c r="M250" s="5"/>
      <c r="N250" s="5"/>
      <c r="O250" s="5"/>
      <c r="P250" s="5"/>
      <c r="Q250" s="5"/>
      <c r="R250" s="5"/>
      <c r="S250" s="5"/>
      <c r="T250" s="5"/>
      <c r="U250" s="5"/>
      <c r="V250" s="5"/>
      <c r="W250" s="5"/>
      <c r="X250" s="5"/>
      <c r="Y250" s="5"/>
      <c r="Z250" s="5"/>
      <c r="AA250" s="5"/>
      <c r="AB250" s="5"/>
    </row>
    <row r="251" spans="1:28" ht="180" x14ac:dyDescent="0.2">
      <c r="A251" s="9" t="str">
        <f t="shared" si="13"/>
        <v>SKILL-249</v>
      </c>
      <c r="B251" s="9" t="str">
        <f t="shared" si="0"/>
        <v>PILOTAGEM | HELICÓPTERO GRANDE - F|M</v>
      </c>
      <c r="C251" s="9" t="s">
        <v>557</v>
      </c>
      <c r="D251" s="9" t="s">
        <v>534</v>
      </c>
      <c r="E251" s="9" t="s">
        <v>50</v>
      </c>
      <c r="F251" s="9" t="s">
        <v>38</v>
      </c>
      <c r="G251" s="9" t="s">
        <v>547</v>
      </c>
      <c r="H251" s="9" t="s">
        <v>40</v>
      </c>
      <c r="I251" s="12" t="s">
        <v>41</v>
      </c>
      <c r="J251" s="9">
        <v>69</v>
      </c>
      <c r="K251" s="9" t="s">
        <v>551</v>
      </c>
      <c r="L251" s="9"/>
      <c r="M251" s="5"/>
      <c r="N251" s="5"/>
      <c r="O251" s="5"/>
      <c r="P251" s="5"/>
      <c r="Q251" s="5"/>
      <c r="R251" s="5"/>
      <c r="S251" s="5"/>
      <c r="T251" s="5"/>
      <c r="U251" s="5"/>
      <c r="V251" s="5"/>
      <c r="W251" s="5"/>
      <c r="X251" s="5"/>
      <c r="Y251" s="5"/>
      <c r="Z251" s="5"/>
      <c r="AA251" s="5"/>
      <c r="AB251" s="5"/>
    </row>
    <row r="252" spans="1:28" ht="180" x14ac:dyDescent="0.2">
      <c r="A252" s="9" t="str">
        <f t="shared" si="13"/>
        <v>SKILL-250</v>
      </c>
      <c r="B252" s="9" t="str">
        <f t="shared" si="0"/>
        <v>PILOTAGEM | PLANADOR - F|M</v>
      </c>
      <c r="C252" s="9" t="s">
        <v>597</v>
      </c>
      <c r="D252" s="9" t="s">
        <v>534</v>
      </c>
      <c r="E252" s="9" t="s">
        <v>50</v>
      </c>
      <c r="F252" s="9" t="s">
        <v>38</v>
      </c>
      <c r="G252" s="9" t="s">
        <v>547</v>
      </c>
      <c r="H252" s="9" t="s">
        <v>40</v>
      </c>
      <c r="I252" s="12" t="s">
        <v>41</v>
      </c>
      <c r="J252" s="9">
        <v>69</v>
      </c>
      <c r="K252" s="9" t="s">
        <v>551</v>
      </c>
      <c r="L252" s="9"/>
      <c r="M252" s="5"/>
      <c r="N252" s="5"/>
      <c r="O252" s="5"/>
      <c r="P252" s="5"/>
      <c r="Q252" s="5"/>
      <c r="R252" s="5"/>
      <c r="S252" s="5"/>
      <c r="T252" s="5"/>
      <c r="U252" s="5"/>
      <c r="V252" s="5"/>
      <c r="W252" s="5"/>
      <c r="X252" s="5"/>
      <c r="Y252" s="5"/>
      <c r="Z252" s="5"/>
      <c r="AA252" s="5"/>
      <c r="AB252" s="5"/>
    </row>
    <row r="253" spans="1:28" ht="180" x14ac:dyDescent="0.2">
      <c r="A253" s="9" t="str">
        <f t="shared" si="13"/>
        <v>SKILL-251</v>
      </c>
      <c r="B253" s="9" t="str">
        <f t="shared" si="0"/>
        <v>PILOTAGEM | BALÃO DE AR QUENTE - F|M</v>
      </c>
      <c r="C253" s="9" t="s">
        <v>558</v>
      </c>
      <c r="D253" s="9" t="s">
        <v>534</v>
      </c>
      <c r="E253" s="9" t="s">
        <v>50</v>
      </c>
      <c r="F253" s="9" t="s">
        <v>38</v>
      </c>
      <c r="G253" s="9" t="s">
        <v>547</v>
      </c>
      <c r="H253" s="9" t="s">
        <v>40</v>
      </c>
      <c r="I253" s="12" t="s">
        <v>41</v>
      </c>
      <c r="J253" s="9">
        <v>69</v>
      </c>
      <c r="K253" s="9" t="s">
        <v>551</v>
      </c>
      <c r="L253" s="9"/>
      <c r="M253" s="5"/>
      <c r="N253" s="5"/>
      <c r="O253" s="5"/>
      <c r="P253" s="5"/>
      <c r="Q253" s="5"/>
      <c r="R253" s="5"/>
      <c r="S253" s="5"/>
      <c r="T253" s="5"/>
      <c r="U253" s="5"/>
      <c r="V253" s="5"/>
      <c r="W253" s="5"/>
      <c r="X253" s="5"/>
      <c r="Y253" s="5"/>
      <c r="Z253" s="5"/>
      <c r="AA253" s="5"/>
      <c r="AB253" s="5"/>
    </row>
    <row r="254" spans="1:28" ht="180" x14ac:dyDescent="0.2">
      <c r="A254" s="9" t="str">
        <f t="shared" si="13"/>
        <v>SKILL-252</v>
      </c>
      <c r="B254" s="9" t="str">
        <f t="shared" si="0"/>
        <v>PILOTAGEM | ÔNIBUS ESPACIAL - F|M</v>
      </c>
      <c r="C254" s="9" t="s">
        <v>559</v>
      </c>
      <c r="D254" s="9" t="s">
        <v>534</v>
      </c>
      <c r="E254" s="9" t="s">
        <v>50</v>
      </c>
      <c r="F254" s="9" t="s">
        <v>38</v>
      </c>
      <c r="G254" s="9" t="s">
        <v>547</v>
      </c>
      <c r="H254" s="9" t="s">
        <v>40</v>
      </c>
      <c r="I254" s="12" t="s">
        <v>41</v>
      </c>
      <c r="J254" s="9">
        <v>69</v>
      </c>
      <c r="K254" s="9" t="s">
        <v>551</v>
      </c>
      <c r="L254" s="9"/>
      <c r="M254" s="5"/>
      <c r="N254" s="5"/>
      <c r="O254" s="5"/>
      <c r="P254" s="5"/>
      <c r="Q254" s="5"/>
      <c r="R254" s="5"/>
      <c r="S254" s="5"/>
      <c r="T254" s="5"/>
      <c r="U254" s="5"/>
      <c r="V254" s="5"/>
      <c r="W254" s="5"/>
      <c r="X254" s="5"/>
      <c r="Y254" s="5"/>
      <c r="Z254" s="5"/>
      <c r="AA254" s="5"/>
      <c r="AB254" s="5"/>
    </row>
    <row r="255" spans="1:28" ht="180" x14ac:dyDescent="0.2">
      <c r="A255" s="9" t="str">
        <f t="shared" si="13"/>
        <v>SKILL-253</v>
      </c>
      <c r="B255" s="9" t="str">
        <f t="shared" si="0"/>
        <v>PILOTAGEM | ESPAÇONAVE - F|M</v>
      </c>
      <c r="C255" s="9" t="s">
        <v>560</v>
      </c>
      <c r="D255" s="9" t="s">
        <v>534</v>
      </c>
      <c r="E255" s="9" t="s">
        <v>50</v>
      </c>
      <c r="F255" s="9" t="s">
        <v>38</v>
      </c>
      <c r="G255" s="9" t="s">
        <v>547</v>
      </c>
      <c r="H255" s="9" t="s">
        <v>40</v>
      </c>
      <c r="I255" s="12" t="s">
        <v>41</v>
      </c>
      <c r="J255" s="9">
        <v>69</v>
      </c>
      <c r="K255" s="9" t="s">
        <v>551</v>
      </c>
      <c r="L255" s="9"/>
      <c r="M255" s="5"/>
      <c r="N255" s="5"/>
      <c r="O255" s="5"/>
      <c r="P255" s="5"/>
      <c r="Q255" s="5"/>
      <c r="R255" s="5"/>
      <c r="S255" s="5"/>
      <c r="T255" s="5"/>
      <c r="U255" s="5"/>
      <c r="V255" s="5"/>
      <c r="W255" s="5"/>
      <c r="X255" s="5"/>
      <c r="Y255" s="5"/>
      <c r="Z255" s="5"/>
      <c r="AA255" s="5"/>
      <c r="AB255" s="5"/>
    </row>
    <row r="256" spans="1:28" ht="67.5" x14ac:dyDescent="0.2">
      <c r="A256" s="9" t="str">
        <f t="shared" si="13"/>
        <v>SKILL-254</v>
      </c>
      <c r="B256" s="9" t="str">
        <f t="shared" si="0"/>
        <v>MOTONÁUTICA - F|M</v>
      </c>
      <c r="C256" s="9" t="s">
        <v>561</v>
      </c>
      <c r="D256" s="9" t="s">
        <v>534</v>
      </c>
      <c r="E256" s="9" t="s">
        <v>50</v>
      </c>
      <c r="F256" s="9" t="s">
        <v>38</v>
      </c>
      <c r="G256" s="9" t="s">
        <v>547</v>
      </c>
      <c r="H256" s="9" t="s">
        <v>562</v>
      </c>
      <c r="I256" s="12" t="s">
        <v>41</v>
      </c>
      <c r="J256" s="9">
        <v>69</v>
      </c>
      <c r="K256" s="9" t="s">
        <v>563</v>
      </c>
      <c r="L256" s="9"/>
      <c r="M256" s="5"/>
      <c r="N256" s="5"/>
      <c r="O256" s="5"/>
      <c r="P256" s="5"/>
      <c r="Q256" s="5"/>
      <c r="R256" s="5"/>
      <c r="S256" s="5"/>
      <c r="T256" s="5"/>
      <c r="U256" s="5"/>
      <c r="V256" s="5"/>
      <c r="W256" s="5"/>
      <c r="X256" s="5"/>
      <c r="Y256" s="5"/>
      <c r="Z256" s="5"/>
      <c r="AA256" s="5"/>
      <c r="AB256" s="5"/>
    </row>
    <row r="257" spans="1:28"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2.75"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2.75"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2.75"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2.75"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2.75"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2.75"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2.75"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2.75"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2.75"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2.75"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2.75"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spans="1:28" ht="12.75"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spans="1:28" ht="12.75"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spans="1:28" ht="12.75"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spans="1:28" ht="12.75"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spans="1:28" ht="12.75"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spans="1:28" ht="12.75"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spans="1:28" ht="12.75"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spans="1:28" ht="12.75"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workbookViewId="0">
      <selection activeCell="B34" sqref="B34"/>
    </sheetView>
  </sheetViews>
  <sheetFormatPr defaultColWidth="12.5703125" defaultRowHeight="15.75" customHeight="1" x14ac:dyDescent="0.2"/>
  <cols>
    <col min="1" max="1" width="10" customWidth="1"/>
    <col min="2" max="2" width="24.7109375" customWidth="1"/>
    <col min="3" max="3" width="57.140625" customWidth="1"/>
    <col min="4" max="4" width="81.28515625" customWidth="1"/>
  </cols>
  <sheetData>
    <row r="1" spans="1:26" x14ac:dyDescent="0.2">
      <c r="A1" s="1" t="s">
        <v>0</v>
      </c>
      <c r="B1" s="1" t="s">
        <v>1</v>
      </c>
      <c r="C1" s="1" t="s">
        <v>2</v>
      </c>
      <c r="D1" s="7" t="s">
        <v>3</v>
      </c>
      <c r="E1" s="2"/>
      <c r="F1" s="2"/>
      <c r="G1" s="2"/>
      <c r="H1" s="2"/>
      <c r="I1" s="2"/>
      <c r="J1" s="2"/>
      <c r="K1" s="2"/>
      <c r="L1" s="2"/>
      <c r="M1" s="2"/>
      <c r="N1" s="2"/>
      <c r="O1" s="2"/>
      <c r="P1" s="2"/>
      <c r="Q1" s="2"/>
      <c r="R1" s="2"/>
      <c r="S1" s="2"/>
      <c r="T1" s="2"/>
      <c r="U1" s="2"/>
      <c r="V1" s="2"/>
      <c r="W1" s="2"/>
      <c r="X1" s="2"/>
      <c r="Y1" s="2"/>
      <c r="Z1" s="2"/>
    </row>
    <row r="2" spans="1:26" x14ac:dyDescent="0.2">
      <c r="A2" s="2">
        <v>3</v>
      </c>
      <c r="B2" s="2" t="s">
        <v>4</v>
      </c>
      <c r="C2" s="2" t="s">
        <v>5</v>
      </c>
      <c r="D2" s="2" t="s">
        <v>6</v>
      </c>
      <c r="E2" s="2"/>
      <c r="F2" s="2"/>
      <c r="G2" s="2"/>
      <c r="H2" s="2"/>
      <c r="I2" s="2"/>
      <c r="J2" s="2"/>
      <c r="K2" s="2"/>
      <c r="L2" s="2"/>
      <c r="M2" s="2"/>
      <c r="N2" s="2"/>
      <c r="O2" s="2"/>
      <c r="P2" s="2"/>
      <c r="Q2" s="2"/>
      <c r="R2" s="2"/>
      <c r="S2" s="2"/>
      <c r="T2" s="2"/>
      <c r="U2" s="2"/>
      <c r="V2" s="2"/>
      <c r="W2" s="2"/>
      <c r="X2" s="2"/>
      <c r="Y2" s="2"/>
      <c r="Z2" s="2"/>
    </row>
    <row r="3" spans="1:26" x14ac:dyDescent="0.2">
      <c r="A3" s="2">
        <v>6</v>
      </c>
      <c r="B3" s="2" t="s">
        <v>7</v>
      </c>
      <c r="C3" s="3" t="s">
        <v>8</v>
      </c>
      <c r="D3" s="2" t="s">
        <v>9</v>
      </c>
      <c r="E3" s="2"/>
      <c r="F3" s="2"/>
      <c r="G3" s="2"/>
      <c r="H3" s="2"/>
      <c r="I3" s="2"/>
      <c r="J3" s="2"/>
      <c r="K3" s="2"/>
      <c r="L3" s="2"/>
      <c r="M3" s="2"/>
      <c r="N3" s="2"/>
      <c r="O3" s="2"/>
      <c r="P3" s="2"/>
      <c r="Q3" s="2"/>
      <c r="R3" s="2"/>
      <c r="S3" s="2"/>
      <c r="T3" s="2"/>
      <c r="U3" s="2"/>
      <c r="V3" s="2"/>
      <c r="W3" s="2"/>
      <c r="X3" s="2"/>
      <c r="Y3" s="2"/>
      <c r="Z3" s="2"/>
    </row>
    <row r="4" spans="1:26" x14ac:dyDescent="0.2">
      <c r="A4" s="2">
        <v>9</v>
      </c>
      <c r="B4" s="2" t="s">
        <v>10</v>
      </c>
      <c r="C4" s="2" t="s">
        <v>11</v>
      </c>
      <c r="E4" s="2"/>
      <c r="F4" s="2"/>
      <c r="G4" s="2"/>
      <c r="H4" s="2"/>
      <c r="I4" s="2"/>
      <c r="J4" s="2"/>
      <c r="K4" s="2"/>
      <c r="L4" s="2"/>
      <c r="M4" s="2"/>
      <c r="N4" s="2"/>
      <c r="O4" s="2"/>
      <c r="P4" s="2"/>
      <c r="Q4" s="2"/>
      <c r="R4" s="2"/>
      <c r="S4" s="2"/>
      <c r="T4" s="2"/>
      <c r="U4" s="2"/>
      <c r="V4" s="2"/>
      <c r="W4" s="2"/>
      <c r="X4" s="2"/>
      <c r="Y4" s="2"/>
      <c r="Z4" s="2"/>
    </row>
    <row r="5" spans="1:26" x14ac:dyDescent="0.2">
      <c r="A5" s="2">
        <v>12</v>
      </c>
      <c r="B5" s="2" t="s">
        <v>12</v>
      </c>
      <c r="C5" s="2" t="s">
        <v>13</v>
      </c>
      <c r="D5" s="2" t="s">
        <v>14</v>
      </c>
      <c r="E5" s="2"/>
      <c r="F5" s="2"/>
      <c r="G5" s="2"/>
      <c r="H5" s="2"/>
      <c r="I5" s="2"/>
      <c r="J5" s="2"/>
      <c r="K5" s="2"/>
      <c r="L5" s="2"/>
      <c r="M5" s="2"/>
      <c r="N5" s="2"/>
      <c r="O5" s="2"/>
      <c r="P5" s="2"/>
      <c r="Q5" s="2"/>
      <c r="R5" s="2"/>
      <c r="S5" s="2"/>
      <c r="T5" s="2"/>
      <c r="U5" s="2"/>
      <c r="V5" s="2"/>
      <c r="W5" s="2"/>
      <c r="X5" s="2"/>
      <c r="Y5" s="2"/>
      <c r="Z5" s="2"/>
    </row>
    <row r="6" spans="1:26" x14ac:dyDescent="0.2">
      <c r="A6" s="2">
        <v>15</v>
      </c>
      <c r="B6" s="2" t="s">
        <v>15</v>
      </c>
      <c r="C6" s="2" t="s">
        <v>16</v>
      </c>
      <c r="D6" s="2" t="s">
        <v>17</v>
      </c>
      <c r="E6" s="2"/>
      <c r="F6" s="2"/>
      <c r="G6" s="2"/>
      <c r="H6" s="2"/>
      <c r="I6" s="2"/>
      <c r="J6" s="2"/>
      <c r="K6" s="2"/>
      <c r="L6" s="2"/>
      <c r="M6" s="2"/>
      <c r="N6" s="2"/>
      <c r="O6" s="2"/>
      <c r="P6" s="2"/>
      <c r="Q6" s="2"/>
      <c r="R6" s="2"/>
      <c r="S6" s="2"/>
      <c r="T6" s="2"/>
      <c r="U6" s="2"/>
      <c r="V6" s="2"/>
      <c r="W6" s="2"/>
      <c r="X6" s="2"/>
      <c r="Y6" s="2"/>
      <c r="Z6" s="2"/>
    </row>
    <row r="7" spans="1:26" x14ac:dyDescent="0.2">
      <c r="A7" s="2">
        <v>18</v>
      </c>
      <c r="B7" s="2" t="s">
        <v>18</v>
      </c>
      <c r="C7" s="2" t="s">
        <v>19</v>
      </c>
      <c r="D7" s="2" t="s">
        <v>20</v>
      </c>
      <c r="E7" s="2"/>
      <c r="F7" s="2"/>
      <c r="G7" s="2"/>
      <c r="H7" s="2"/>
      <c r="I7" s="2"/>
      <c r="J7" s="2"/>
      <c r="K7" s="2"/>
      <c r="L7" s="2"/>
      <c r="M7" s="2"/>
      <c r="N7" s="2"/>
      <c r="O7" s="2"/>
      <c r="P7" s="2"/>
      <c r="Q7" s="2"/>
      <c r="R7" s="2"/>
      <c r="S7" s="2"/>
      <c r="T7" s="2"/>
      <c r="U7" s="2"/>
      <c r="V7" s="2"/>
      <c r="W7" s="2"/>
      <c r="X7" s="2"/>
      <c r="Y7" s="2"/>
      <c r="Z7" s="2"/>
    </row>
    <row r="8" spans="1:26" x14ac:dyDescent="0.2">
      <c r="A8" s="2">
        <v>20</v>
      </c>
      <c r="B8" s="2" t="s">
        <v>21</v>
      </c>
      <c r="C8" s="2" t="s">
        <v>22</v>
      </c>
      <c r="D8" s="4" t="s">
        <v>23</v>
      </c>
      <c r="E8" s="2"/>
      <c r="F8" s="2"/>
      <c r="G8" s="2"/>
      <c r="H8" s="2"/>
      <c r="I8" s="2"/>
      <c r="J8" s="2"/>
      <c r="K8" s="2"/>
      <c r="L8" s="2"/>
      <c r="M8" s="2"/>
      <c r="N8" s="2"/>
      <c r="O8" s="2"/>
      <c r="P8" s="2"/>
      <c r="Q8" s="2"/>
      <c r="R8" s="2"/>
      <c r="S8" s="2"/>
      <c r="T8" s="2"/>
      <c r="U8" s="2"/>
      <c r="V8" s="2"/>
      <c r="W8" s="2"/>
      <c r="X8" s="2"/>
      <c r="Y8" s="2"/>
      <c r="Z8" s="2"/>
    </row>
    <row r="9" spans="1:26" x14ac:dyDescent="0.2">
      <c r="A9" s="2"/>
      <c r="B9" s="2"/>
      <c r="D9" s="2"/>
      <c r="E9" s="2"/>
      <c r="F9" s="2"/>
      <c r="G9" s="2"/>
      <c r="H9" s="2"/>
      <c r="I9" s="2"/>
      <c r="J9" s="2"/>
      <c r="K9" s="2"/>
      <c r="L9" s="2"/>
      <c r="M9" s="2"/>
      <c r="N9" s="2"/>
      <c r="O9" s="2"/>
      <c r="P9" s="2"/>
      <c r="Q9" s="2"/>
      <c r="R9" s="2"/>
      <c r="S9" s="2"/>
      <c r="T9" s="2"/>
      <c r="U9" s="2"/>
      <c r="V9" s="2"/>
      <c r="W9" s="2"/>
      <c r="X9" s="2"/>
      <c r="Y9" s="2"/>
      <c r="Z9" s="2"/>
    </row>
    <row r="10" spans="1:26" x14ac:dyDescent="0.2">
      <c r="A10" s="2"/>
      <c r="B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48DC-883D-4303-89B1-D84AFA2EBA3D}">
  <dimension ref="A1:E15"/>
  <sheetViews>
    <sheetView workbookViewId="0">
      <selection activeCell="B43" sqref="B43"/>
    </sheetView>
  </sheetViews>
  <sheetFormatPr defaultRowHeight="12.75" x14ac:dyDescent="0.2"/>
  <cols>
    <col min="1" max="1" width="13.28515625" bestFit="1" customWidth="1"/>
  </cols>
  <sheetData>
    <row r="1" spans="1:5" x14ac:dyDescent="0.2">
      <c r="A1" s="6" t="s">
        <v>564</v>
      </c>
      <c r="B1" s="6" t="s">
        <v>50</v>
      </c>
      <c r="C1" s="6" t="s">
        <v>38</v>
      </c>
      <c r="D1" s="6" t="s">
        <v>39</v>
      </c>
      <c r="E1" s="6" t="s">
        <v>70</v>
      </c>
    </row>
    <row r="2" spans="1:5" x14ac:dyDescent="0.2">
      <c r="A2" s="6" t="s">
        <v>574</v>
      </c>
      <c r="E2">
        <v>0.5</v>
      </c>
    </row>
    <row r="3" spans="1:5" x14ac:dyDescent="0.2">
      <c r="A3" s="6" t="s">
        <v>575</v>
      </c>
      <c r="D3">
        <v>0.5</v>
      </c>
      <c r="E3">
        <v>1</v>
      </c>
    </row>
    <row r="4" spans="1:5" x14ac:dyDescent="0.2">
      <c r="A4" s="6" t="s">
        <v>576</v>
      </c>
      <c r="C4">
        <v>0.5</v>
      </c>
      <c r="D4">
        <v>1</v>
      </c>
      <c r="E4">
        <v>2</v>
      </c>
    </row>
    <row r="5" spans="1:5" x14ac:dyDescent="0.2">
      <c r="A5" s="6" t="s">
        <v>547</v>
      </c>
      <c r="B5">
        <v>0.5</v>
      </c>
      <c r="C5">
        <v>1</v>
      </c>
      <c r="D5">
        <v>2</v>
      </c>
      <c r="E5">
        <v>4</v>
      </c>
    </row>
    <row r="6" spans="1:5" x14ac:dyDescent="0.2">
      <c r="A6" s="6" t="s">
        <v>577</v>
      </c>
      <c r="B6">
        <v>1</v>
      </c>
      <c r="C6">
        <v>2</v>
      </c>
      <c r="D6">
        <v>4</v>
      </c>
      <c r="E6">
        <v>8</v>
      </c>
    </row>
    <row r="7" spans="1:5" x14ac:dyDescent="0.2">
      <c r="A7" s="6" t="s">
        <v>578</v>
      </c>
      <c r="B7">
        <v>2</v>
      </c>
      <c r="C7">
        <v>4</v>
      </c>
      <c r="D7">
        <v>8</v>
      </c>
      <c r="E7">
        <v>16</v>
      </c>
    </row>
    <row r="8" spans="1:5" x14ac:dyDescent="0.2">
      <c r="A8" s="6" t="s">
        <v>579</v>
      </c>
      <c r="B8">
        <v>4</v>
      </c>
      <c r="C8">
        <v>8</v>
      </c>
      <c r="D8">
        <v>16</v>
      </c>
      <c r="E8">
        <v>24</v>
      </c>
    </row>
    <row r="9" spans="1:5" x14ac:dyDescent="0.2">
      <c r="A9" s="6" t="s">
        <v>580</v>
      </c>
      <c r="B9">
        <v>8</v>
      </c>
      <c r="C9">
        <v>16</v>
      </c>
      <c r="D9">
        <v>24</v>
      </c>
      <c r="E9">
        <v>32</v>
      </c>
    </row>
    <row r="10" spans="1:5" x14ac:dyDescent="0.2">
      <c r="A10" s="6" t="s">
        <v>588</v>
      </c>
      <c r="B10">
        <v>16</v>
      </c>
      <c r="C10">
        <v>24</v>
      </c>
      <c r="D10">
        <v>32</v>
      </c>
      <c r="E10">
        <v>40</v>
      </c>
    </row>
    <row r="11" spans="1:5" x14ac:dyDescent="0.2">
      <c r="A11" s="6" t="s">
        <v>581</v>
      </c>
      <c r="B11">
        <v>24</v>
      </c>
      <c r="C11">
        <v>32</v>
      </c>
      <c r="D11">
        <v>40</v>
      </c>
      <c r="E11">
        <v>48</v>
      </c>
    </row>
    <row r="12" spans="1:5" x14ac:dyDescent="0.2">
      <c r="A12" s="6" t="s">
        <v>582</v>
      </c>
      <c r="B12">
        <v>32</v>
      </c>
      <c r="C12">
        <v>40</v>
      </c>
      <c r="D12">
        <v>48</v>
      </c>
      <c r="E12">
        <v>56</v>
      </c>
    </row>
    <row r="13" spans="1:5" x14ac:dyDescent="0.2">
      <c r="A13" s="6" t="s">
        <v>583</v>
      </c>
      <c r="B13">
        <v>40</v>
      </c>
      <c r="C13">
        <v>48</v>
      </c>
      <c r="D13">
        <v>56</v>
      </c>
      <c r="E13">
        <v>64</v>
      </c>
    </row>
    <row r="14" spans="1:5" x14ac:dyDescent="0.2">
      <c r="A14" s="6" t="s">
        <v>584</v>
      </c>
      <c r="B14">
        <v>48</v>
      </c>
      <c r="C14">
        <v>56</v>
      </c>
      <c r="D14">
        <v>64</v>
      </c>
      <c r="E14">
        <v>72</v>
      </c>
    </row>
    <row r="15" spans="1:5" x14ac:dyDescent="0.2">
      <c r="A15" s="6" t="s">
        <v>585</v>
      </c>
      <c r="B15">
        <v>56</v>
      </c>
      <c r="C15">
        <v>64</v>
      </c>
      <c r="D15">
        <v>72</v>
      </c>
      <c r="E15">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C007-5E18-4AA6-AACF-9C3F7C74FC02}">
  <dimension ref="A1:E16"/>
  <sheetViews>
    <sheetView tabSelected="1" workbookViewId="0">
      <selection activeCell="H40" sqref="H40"/>
    </sheetView>
  </sheetViews>
  <sheetFormatPr defaultRowHeight="12.75" x14ac:dyDescent="0.2"/>
  <cols>
    <col min="1" max="1" width="13.28515625" bestFit="1" customWidth="1"/>
  </cols>
  <sheetData>
    <row r="1" spans="1:5" x14ac:dyDescent="0.2">
      <c r="A1" s="6" t="s">
        <v>564</v>
      </c>
      <c r="B1" s="6" t="s">
        <v>50</v>
      </c>
      <c r="C1" s="6" t="s">
        <v>38</v>
      </c>
      <c r="D1" s="6" t="s">
        <v>39</v>
      </c>
      <c r="E1" s="6" t="s">
        <v>70</v>
      </c>
    </row>
    <row r="2" spans="1:5" x14ac:dyDescent="0.2">
      <c r="A2" s="6" t="s">
        <v>565</v>
      </c>
      <c r="E2">
        <v>0.5</v>
      </c>
    </row>
    <row r="3" spans="1:5" x14ac:dyDescent="0.2">
      <c r="A3" s="6" t="s">
        <v>566</v>
      </c>
      <c r="D3">
        <v>0.5</v>
      </c>
      <c r="E3">
        <v>1</v>
      </c>
    </row>
    <row r="4" spans="1:5" x14ac:dyDescent="0.2">
      <c r="A4" s="6" t="s">
        <v>567</v>
      </c>
      <c r="C4">
        <v>0.5</v>
      </c>
      <c r="D4">
        <v>1</v>
      </c>
      <c r="E4">
        <v>2</v>
      </c>
    </row>
    <row r="5" spans="1:5" x14ac:dyDescent="0.2">
      <c r="A5" s="6" t="s">
        <v>568</v>
      </c>
      <c r="B5">
        <v>0.5</v>
      </c>
      <c r="C5">
        <v>1</v>
      </c>
      <c r="D5">
        <v>2</v>
      </c>
      <c r="E5">
        <v>4</v>
      </c>
    </row>
    <row r="6" spans="1:5" x14ac:dyDescent="0.2">
      <c r="A6" s="6" t="s">
        <v>569</v>
      </c>
      <c r="B6">
        <v>1</v>
      </c>
      <c r="C6">
        <v>2</v>
      </c>
      <c r="D6">
        <v>4</v>
      </c>
      <c r="E6">
        <v>6</v>
      </c>
    </row>
    <row r="7" spans="1:5" x14ac:dyDescent="0.2">
      <c r="A7" s="6" t="s">
        <v>570</v>
      </c>
      <c r="B7">
        <v>2</v>
      </c>
      <c r="C7">
        <v>4</v>
      </c>
      <c r="D7">
        <v>6</v>
      </c>
      <c r="E7">
        <v>8</v>
      </c>
    </row>
    <row r="8" spans="1:5" x14ac:dyDescent="0.2">
      <c r="A8" s="6" t="s">
        <v>571</v>
      </c>
      <c r="B8">
        <v>4</v>
      </c>
      <c r="C8">
        <v>6</v>
      </c>
      <c r="D8">
        <v>8</v>
      </c>
      <c r="E8">
        <v>10</v>
      </c>
    </row>
    <row r="9" spans="1:5" x14ac:dyDescent="0.2">
      <c r="A9" s="6" t="s">
        <v>572</v>
      </c>
      <c r="B9">
        <v>6</v>
      </c>
      <c r="C9">
        <v>8</v>
      </c>
      <c r="D9">
        <v>10</v>
      </c>
      <c r="E9">
        <v>12</v>
      </c>
    </row>
    <row r="10" spans="1:5" x14ac:dyDescent="0.2">
      <c r="A10" s="6" t="s">
        <v>573</v>
      </c>
      <c r="B10">
        <v>8</v>
      </c>
      <c r="C10">
        <v>10</v>
      </c>
      <c r="D10">
        <v>12</v>
      </c>
      <c r="E10">
        <v>14</v>
      </c>
    </row>
    <row r="11" spans="1:5" x14ac:dyDescent="0.2">
      <c r="A11" s="6" t="s">
        <v>587</v>
      </c>
      <c r="B11">
        <v>10</v>
      </c>
      <c r="C11">
        <v>12</v>
      </c>
      <c r="D11">
        <v>14</v>
      </c>
      <c r="E11">
        <v>16</v>
      </c>
    </row>
    <row r="12" spans="1:5" x14ac:dyDescent="0.2">
      <c r="A12" s="6" t="s">
        <v>586</v>
      </c>
      <c r="B12">
        <v>12</v>
      </c>
      <c r="C12">
        <v>14</v>
      </c>
      <c r="D12">
        <v>16</v>
      </c>
      <c r="E12">
        <v>18</v>
      </c>
    </row>
    <row r="13" spans="1:5" x14ac:dyDescent="0.2">
      <c r="A13" s="6" t="s">
        <v>589</v>
      </c>
      <c r="B13">
        <v>14</v>
      </c>
      <c r="C13">
        <v>16</v>
      </c>
      <c r="D13">
        <v>18</v>
      </c>
      <c r="E13">
        <v>20</v>
      </c>
    </row>
    <row r="14" spans="1:5" x14ac:dyDescent="0.2">
      <c r="A14" s="6" t="s">
        <v>590</v>
      </c>
      <c r="B14">
        <v>16</v>
      </c>
      <c r="C14">
        <v>18</v>
      </c>
      <c r="D14">
        <v>20</v>
      </c>
      <c r="E14">
        <v>22</v>
      </c>
    </row>
    <row r="15" spans="1:5" x14ac:dyDescent="0.2">
      <c r="A15" s="6" t="s">
        <v>591</v>
      </c>
      <c r="B15">
        <v>18</v>
      </c>
      <c r="C15">
        <v>20</v>
      </c>
      <c r="D15">
        <v>22</v>
      </c>
      <c r="E15">
        <v>24</v>
      </c>
    </row>
    <row r="16" spans="1:5" x14ac:dyDescent="0.2">
      <c r="A16" s="6" t="s">
        <v>592</v>
      </c>
      <c r="B16">
        <v>20</v>
      </c>
      <c r="C16">
        <v>22</v>
      </c>
      <c r="D16">
        <v>24</v>
      </c>
      <c r="E16">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vt:lpstr>
      <vt:lpstr>overview</vt:lpstr>
      <vt:lpstr>physical</vt:lpstr>
      <vt:lpstr>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modified xsi:type="dcterms:W3CDTF">2026-02-20T20:52:33Z</dcterms:modified>
</cp:coreProperties>
</file>